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詳細查詢" sheetId="1" r:id="rId5"/>
    <sheet state="visible" name="棲息地" sheetId="2" r:id="rId6"/>
    <sheet state="visible" name="寶可夢喜好表" sheetId="3" r:id="rId7"/>
  </sheets>
  <definedNames>
    <definedName hidden="1" localSheetId="2" name="_xlnm._FilterDatabase">'寶可夢喜好表'!$A$1:$Z$307</definedName>
  </definedNames>
  <calcPr/>
</workbook>
</file>

<file path=xl/sharedStrings.xml><?xml version="1.0" encoding="utf-8"?>
<sst xmlns="http://schemas.openxmlformats.org/spreadsheetml/2006/main" count="3247" uniqueCount="2009">
  <si>
    <t>手輸專長</t>
  </si>
  <si>
    <t>火</t>
  </si>
  <si>
    <t>點火</t>
  </si>
  <si>
    <t>小火龍</t>
  </si>
  <si>
    <t>專長</t>
  </si>
  <si>
    <t>喜歡的環境</t>
  </si>
  <si>
    <t>喜歡的事物</t>
  </si>
  <si>
    <t>喜歡的口味 (範例)</t>
  </si>
  <si>
    <t>掉落物</t>
  </si>
  <si>
    <t>棲息地1 / 道具)</t>
  </si>
  <si>
    <t>寶可夢</t>
  </si>
  <si>
    <t>棲息地2/ 道具)</t>
  </si>
  <si>
    <t>棲息地3 / 道具)</t>
  </si>
  <si>
    <t>編號</t>
  </si>
  <si>
    <t>棲息地名稱</t>
  </si>
  <si>
    <t>核心道具需求</t>
  </si>
  <si>
    <t>出現寶可夢</t>
  </si>
  <si>
    <t>No.001</t>
  </si>
  <si>
    <t>綠色的草叢</t>
  </si>
  <si>
    <t>綠草 ×4</t>
  </si>
  <si>
    <t>妙蛙種子、小火龍、噴火龍、傑尼龜、走路草、小拳石（空空鎮)</t>
  </si>
  <si>
    <t>https://drive.google.com/file/d/1Zui1QKajr4K54-QnVN11axFwFdXqil_m/view?usp=drive_link</t>
  </si>
  <si>
    <t>No.002</t>
  </si>
  <si>
    <t>樹蔭的草叢</t>
  </si>
  <si>
    <t>大樹 ×1、綠草 ×4</t>
  </si>
  <si>
    <t>飛天螳螂、喇叭芽、巨鉗螳螂（空空鎮)、赫拉克羅斯、凱羅斯、貪心栗鼠（空空鎮)</t>
  </si>
  <si>
    <t>https://drive.google.com/file/d/19CrdN30HGmpE_sHBpHI0ykoC1Xzs3nFL/view?usp=drive_link</t>
  </si>
  <si>
    <t>No.003</t>
  </si>
  <si>
    <t>岩影的草地</t>
  </si>
  <si>
    <t>綠草 ×4、大石頭 ×1</t>
  </si>
  <si>
    <t>搬運小匠、鐵骨土人、腕力（空空鎮)</t>
  </si>
  <si>
    <t>https://drive.google.com/file/d/1ELHxpsZlcq5M83YhnRXD5C6FIN78pF-b/view?usp=drive_link</t>
  </si>
  <si>
    <t>No.004</t>
  </si>
  <si>
    <t>濕潤的草地</t>
  </si>
  <si>
    <t>綠草 ×4、水 ×2</t>
  </si>
  <si>
    <t>傑尼龜、卡咪龜、水箭龜、黏美兒、古月鳥（空空鎮)</t>
  </si>
  <si>
    <t>https://drive.google.com/file/d/1fwTkKzuuQxM9eaQ9Ln-6BPQEbC_bwkjJ/view?usp=drive_link</t>
  </si>
  <si>
    <t>No.005</t>
  </si>
  <si>
    <t>海浪邊的草叢</t>
  </si>
  <si>
    <t>綠草 ×4、海水 ×2</t>
  </si>
  <si>
    <t>呆呆獸、呆呆王、呆殼獸</t>
  </si>
  <si>
    <t>https://drive.google.com/file/d/1zKMMiq7r3vrF5UvmbZPtVtD_dfDYdUP3/view?usp=drive_link</t>
  </si>
  <si>
    <t>No.006</t>
  </si>
  <si>
    <t>高崗的草叢</t>
  </si>
  <si>
    <t>綠草 ×4、高處 ×1</t>
  </si>
  <si>
    <t>咕咕、波波、比比鳥</t>
  </si>
  <si>
    <t>https://drive.google.com/file/d/1Z5rKeD-bOwEO2zJCMhi8LMhShYWp-Ddb/view?usp=drive_link</t>
  </si>
  <si>
    <t>No.007</t>
  </si>
  <si>
    <t>光照的草叢</t>
  </si>
  <si>
    <t>草叢(任意) ×4、照明(任意) ×1</t>
  </si>
  <si>
    <t>毛球、摩魯蛾</t>
  </si>
  <si>
    <t>https://drive.google.com/file/d/1t8xnCYn4TFB4oYGXSu-SqsGqdBDu9QAV/view?usp=drive_link</t>
  </si>
  <si>
    <t>No.008</t>
  </si>
  <si>
    <t>漂亮的花田</t>
  </si>
  <si>
    <t>原野之花 ×4</t>
  </si>
  <si>
    <t>咕咕、三蜜蜂、伊布、波波（空空鎮)、鴨嘴寶寶（空空鎮)</t>
  </si>
  <si>
    <t>https://drive.google.com/file/d/1fZ5xoeCppudNCNreKNTA1N9jUYmH0NvG/view?usp=drive_link</t>
  </si>
  <si>
    <t>No.009</t>
  </si>
  <si>
    <t>樹蔭的花田</t>
  </si>
  <si>
    <t>黏黏寶、夢歌仙人掌、鍬農炮蟲（空空鎮)</t>
  </si>
  <si>
    <t>https://drive.google.com/file/d/1Pa_OwADXdwfpOXBTrfLWXVTRGQROALa4/view?usp=drive_link</t>
  </si>
  <si>
    <t>No.010</t>
  </si>
  <si>
    <t>濕潤的花田</t>
  </si>
  <si>
    <t>原野之花 ×4、水 ×2</t>
  </si>
  <si>
    <t>甜甜螢、電螢蟲</t>
  </si>
  <si>
    <t>https://drive.google.com/file/d/13GWQEZZL6FlM4c33is_47k5pEQD6fHjB/view?usp=drive_link</t>
  </si>
  <si>
    <t>No.011</t>
  </si>
  <si>
    <t>整片的花海</t>
  </si>
  <si>
    <t>原野之花 ×8</t>
  </si>
  <si>
    <t>妙蛙草、妙蛙花、蜂女王</t>
  </si>
  <si>
    <t>https://drive.google.com/file/d/1fBC42KzrWPHrGrKZSlsuPGUcffl2FbPM/view?usp=drive_link</t>
  </si>
  <si>
    <t>No.012</t>
  </si>
  <si>
    <t>高崗的花海</t>
  </si>
  <si>
    <t>原野之花 ×4、高處 ×1</t>
  </si>
  <si>
    <t>派拉斯、派拉斯特</t>
  </si>
  <si>
    <t>https://drive.google.com/file/d/1kb9nrzFjrr2IPcq4ATBQQOUw6vaTpFJ7/view?usp=drive_link</t>
  </si>
  <si>
    <t>No.013</t>
  </si>
  <si>
    <t>花朵纏繞的墓地</t>
  </si>
  <si>
    <t>原野之花 ×4、墓碑 ×1</t>
  </si>
  <si>
    <t>卡拉卡拉、嘎啦嘎啦</t>
  </si>
  <si>
    <t>https://drive.google.com/file/d/14MtBLuKH364jLo-v3egXmfdVfeh5Nhz9/view?usp=drive_link</t>
  </si>
  <si>
    <t>No.014</t>
  </si>
  <si>
    <t>花園</t>
  </si>
  <si>
    <t>樹籬(任意) ×4、原野之花 ×4</t>
  </si>
  <si>
    <t>https://drive.google.com/file/d/14nbZVUvlsjY-LDtwN3AQa2hzZWDlnvgf/view?usp=drive_link</t>
  </si>
  <si>
    <t>No.015</t>
  </si>
  <si>
    <t>新鮮蔬菜田</t>
  </si>
  <si>
    <t>蔬菜田(任意) ×8</t>
  </si>
  <si>
    <t>螺釘地鼠、龍頭地鼠、木木梟（空空鎮)</t>
  </si>
  <si>
    <t>https://drive.google.com/file/d/1nDD6CuoMnLoga-f0PpsRtqWD57UfRBkx/view?usp=drive_link</t>
  </si>
  <si>
    <t>No.016</t>
  </si>
  <si>
    <t>乘上暖風</t>
  </si>
  <si>
    <t>營火 ×3</t>
  </si>
  <si>
    <t>飄飄球</t>
  </si>
  <si>
    <t>https://drive.google.com/file/d/1GWhrzo7rxLbs37rHVEullF_ENsxgNAHk/view?usp=drive_link</t>
  </si>
  <si>
    <t>No.017</t>
  </si>
  <si>
    <t>露營組合</t>
  </si>
  <si>
    <t>營火 ×1、乾草桌 ×1、乾草椅 ×1</t>
  </si>
  <si>
    <t>火恐龍</t>
  </si>
  <si>
    <t>https://drive.google.com/file/d/1RhhU84KkyO7NlAJy7orPp0p9Gvcqfa7p/view?usp=drive_link</t>
  </si>
  <si>
    <t>No.018</t>
  </si>
  <si>
    <t>修行瀑布</t>
  </si>
  <si>
    <t>椅子(任意) ×1、水 ×2、瀑布 ×1</t>
  </si>
  <si>
    <t>無畏小子</t>
  </si>
  <si>
    <t>https://drive.google.com/file/d/1xjXqd9TAn4SNoGBre-Gwh6YcMaT9nnTd/view?usp=drive_link</t>
  </si>
  <si>
    <t>No.019</t>
  </si>
  <si>
    <t>餓肚肚用餐區</t>
  </si>
  <si>
    <t>椅子(任意) ×1、桌子(任意) ×1、盤子上的食物 ×1</t>
  </si>
  <si>
    <t>溶食獸</t>
  </si>
  <si>
    <t>https://drive.google.com/file/d/1NBZAjEUjlnSON7vZLet5XIsqsjVF3DG7/view?usp=drive_link</t>
  </si>
  <si>
    <t>No.020</t>
  </si>
  <si>
    <t>野餐風餐桌</t>
  </si>
  <si>
    <t>椅子(任意) ×2、桌子(任意) ×1、籃子 ×1</t>
  </si>
  <si>
    <t>皮丘(乾巴巴荒野)、皮卡丘（空空鎮)</t>
  </si>
  <si>
    <t>https://drive.google.com/file/d/1xLZR7Tsp1ZMTqDTbGVVvpw5bqZ1CuvGY/view?usp=drive_link</t>
  </si>
  <si>
    <t>No.021</t>
  </si>
  <si>
    <t>華麗的桌子</t>
  </si>
  <si>
    <t>椅子(任意) ×1、桌子(任意) ×1</t>
  </si>
  <si>
    <t>口呆花、大食花</t>
  </si>
  <si>
    <t>https://drive.google.com/file/d/1IG2TcQGWffGFN2F84WUiO2bM9zvaewoY/view?usp=drive_link</t>
  </si>
  <si>
    <t>No.022</t>
  </si>
  <si>
    <t>綠色的長椅</t>
  </si>
  <si>
    <t>樹籬(任意) ×2、椅子(長條) ×1</t>
  </si>
  <si>
    <t>妙蛙種子、妙蛙草、巨蔓藤(需連線去對方的島)</t>
  </si>
  <si>
    <t>https://drive.google.com/file/d/1yLkAA6Es4XvbY7OFs0wlQp1MtiuQ-Gqu/view?usp=drive_link</t>
  </si>
  <si>
    <t>No.023</t>
  </si>
  <si>
    <t>光照的長椅</t>
  </si>
  <si>
    <t>椅子(長條) ×1、路燈(任意) ×1</t>
  </si>
  <si>
    <t>毛球</t>
  </si>
  <si>
    <t>https://drive.google.com/file/d/1vZH2kamMfuXWmuQ4KlWODZnxqtptXSOp/view?usp=drive_link</t>
  </si>
  <si>
    <t>No.024</t>
  </si>
  <si>
    <t>健身區用餐區</t>
  </si>
  <si>
    <t>沙包 ×1、椅子(任意) ×1</t>
  </si>
  <si>
    <t>快拳郎</t>
  </si>
  <si>
    <t>https://drive.google.com/file/d/1Ym45okARDdkyfF_ZzR3BD0qawn-ye3gq/view?usp=drive_link</t>
  </si>
  <si>
    <t>No.025</t>
  </si>
  <si>
    <t>緊急救護站</t>
  </si>
  <si>
    <t>椅子(任意) ×1、桌子(任意) ×1、急救箱 ×1</t>
  </si>
  <si>
    <t>飛腿郎</t>
  </si>
  <si>
    <t>https://drive.google.com/file/d/1yBISxXekCdWZcFW5CppnNvAgf0qMIJHx/view?usp=drive_link</t>
  </si>
  <si>
    <t>No.026</t>
  </si>
  <si>
    <t>健身區救護站</t>
  </si>
  <si>
    <t>桌子(任意) ×1、沙包 ×1、急救箱 ×1</t>
  </si>
  <si>
    <t>戰舞郎</t>
  </si>
  <si>
    <t>https://drive.google.com/file/d/1h933OGLQfet6ZWMyP4kodMMC1eiYvZPz/view?usp=drive_link</t>
  </si>
  <si>
    <t>No.027</t>
  </si>
  <si>
    <t>指路牌</t>
  </si>
  <si>
    <t>箭頭告示牌 ×1、木頭小路 ×3</t>
  </si>
  <si>
    <t>無殼海兔</t>
  </si>
  <si>
    <t>https://drive.google.com/file/d/1Z1TRDksTSds7c2xIaT6z4Dpe09rP2pbJ/view?usp=drive_link</t>
  </si>
  <si>
    <t>No.028</t>
  </si>
  <si>
    <t>載上大行李</t>
  </si>
  <si>
    <t>手推車 ×1、木箱 ×2</t>
  </si>
  <si>
    <t>鐵骨土人、小鍛匠（空空鎮)、巧鍛匠（空空鎮)</t>
  </si>
  <si>
    <t>https://drive.google.com/file/d/1dd2IMbyTsIgCoxi6TfTAo7Y6cTjh_omG/view?usp=drive_link</t>
  </si>
  <si>
    <t>No.029</t>
  </si>
  <si>
    <t>樵夫的工作區</t>
  </si>
  <si>
    <t>圓木椅 ×1、手推車 ×1、樹樁 ×1、圓木桌 ×1</t>
  </si>
  <si>
    <t>牙牙（★）、斧牙龍（★★）、雙斧戰龍（★★★）</t>
  </si>
  <si>
    <t>https://drive.google.com/file/d/1uj8O15kVRxPvY-VhrExpqYdkyvoPY3dS/view?usp=drive_link</t>
  </si>
  <si>
    <t>No.030</t>
  </si>
  <si>
    <t>布偶伴好眠</t>
  </si>
  <si>
    <t>床鋪(任意) ×1</t>
  </si>
  <si>
    <t>飄飄球、小卡比獸（空空鎮)</t>
  </si>
  <si>
    <t>https://drive.google.com/file/d/1yTMvl-TTPdZvYO8Dss-kfVa18l1S8hKp/view?usp=drive_link</t>
  </si>
  <si>
    <t>No.031</t>
  </si>
  <si>
    <t>柔光伴好眠</t>
  </si>
  <si>
    <t>床鋪(任意) ×1、桌子(任意) ×1、細長蠟燭 ×1</t>
  </si>
  <si>
    <t>咕咕、貓頭夜鷹</t>
  </si>
  <si>
    <t>https://drive.google.com/file/d/1HDoKzr-bOVCO4MZBahsLi-5SukLEUApY/view?usp=drive_link</t>
  </si>
  <si>
    <t>No.032</t>
  </si>
  <si>
    <t>墓前的供品</t>
  </si>
  <si>
    <t>墓碑 ×1、細長蠟燭 ×2、盤子上的食物 ×1</t>
  </si>
  <si>
    <t>燭光靈</t>
  </si>
  <si>
    <t>https://drive.google.com/file/d/1lYfXfavq0TBl9HHF8eqIUvjJFvldc6GB/view?usp=drive_link</t>
  </si>
  <si>
    <t>No.033</t>
  </si>
  <si>
    <t>詭異墓前的供品</t>
  </si>
  <si>
    <t>可疑的蠟燭 ×2、墓碑 ×1、盤子上的食物 ×1</t>
  </si>
  <si>
    <t>燭光靈、燈火幽靈、水晶燈火靈</t>
  </si>
  <si>
    <t>https://drive.google.com/file/d/1NyGxjwiINsObEZv5eZydpDHkY7Noicfg/view?usp=drive_link</t>
  </si>
  <si>
    <t>No.034</t>
  </si>
  <si>
    <t>吉利蛋休息處</t>
  </si>
  <si>
    <t>樹籬(任意) ×6、椅子(長條) ×1</t>
  </si>
  <si>
    <t>霸王花、美麗花</t>
  </si>
  <si>
    <t>https://drive.google.com/file/d/1cKJ8IPz3WQ6DG1vQb1N7wvPVKF5UWM2J/view?usp=drive_link</t>
  </si>
  <si>
    <t>No.035</t>
  </si>
  <si>
    <t>光與香氣的勾引</t>
  </si>
  <si>
    <t>盤子上的食物 ×1</t>
  </si>
  <si>
    <t>口呆花</t>
  </si>
  <si>
    <t>https://drive.google.com/file/d/1joFxiLq6Xqr-ZXZ8-7vBKfpK-Yxb8iHd/view?usp=drive_link</t>
  </si>
  <si>
    <t>No.036</t>
  </si>
  <si>
    <t>在陰涼處漂浮玩水</t>
  </si>
  <si>
    <t>海灘傘 ×1、水 ×2</t>
  </si>
  <si>
    <t>水箭龜</t>
  </si>
  <si>
    <t>https://drive.google.com/file/d/1Viy3kDTiRGBHZphYMHRmYmkKuJx5NMWw/view?usp=drive_link</t>
  </si>
  <si>
    <t>No.037</t>
  </si>
  <si>
    <t>乾爽草叢</t>
  </si>
  <si>
    <t>枯萎的綠草 ×4、沙沙岩石 ×1</t>
  </si>
  <si>
    <t>大岩蛇</t>
  </si>
  <si>
    <t>https://drive.google.com/file/d/1LytccQl21AjbkiqUQqPcbN_TZYKmN7dr/view?usp=drive_link</t>
  </si>
  <si>
    <t>No.038</t>
  </si>
  <si>
    <t>工廠倉庫</t>
  </si>
  <si>
    <t>路燈(任意) ×1</t>
  </si>
  <si>
    <t>小磁怪</t>
  </si>
  <si>
    <t>https://drive.google.com/file/d/1sF8CRK36ZPLKDN3LDYnVNlnuoeIr2Yd5/view?usp=drive_link</t>
  </si>
  <si>
    <t>No.039</t>
  </si>
  <si>
    <t>豪華小雞飼料</t>
  </si>
  <si>
    <t>裝有樹果的籃子 ×1、木製鳥巢箱 ×1</t>
  </si>
  <si>
    <t>大比鳥（★）</t>
  </si>
  <si>
    <t>https://drive.google.com/file/d/1FD045dZ0IoiEuAzHpWD93NriuGWrxeyr/view?usp=drive_link</t>
  </si>
  <si>
    <t>No.040</t>
  </si>
  <si>
    <t>樹果露營大餐</t>
  </si>
  <si>
    <t>晴天漂浮泡泡娃娃 ×2、營火 ×1、樹果籃 ×1、高處 ×1</t>
  </si>
  <si>
    <t>噴火龍</t>
  </si>
  <si>
    <t>https://drive.google.com/file/d/1ZD2wQv6s7EnOb1yU2kl_utwfcAu33CUR/view?usp=drive_link</t>
  </si>
  <si>
    <t>No.041</t>
  </si>
  <si>
    <t>求雨地點</t>
  </si>
  <si>
    <t>雨天漂浮泡泡娃娃 ×2、盤子上的食物 ×1</t>
  </si>
  <si>
    <t>黏黏寶</t>
  </si>
  <si>
    <t>https://drive.google.com/file/d/19_FmcEfS-6SjCpmqN06rxWxqEjC0Yvmk/view?usp=drive_link</t>
  </si>
  <si>
    <t>No.042</t>
  </si>
  <si>
    <t>大晴天地點</t>
  </si>
  <si>
    <t>晴天漂浮泡泡娃娃 ×2、盤子上的食物 ×1</t>
  </si>
  <si>
    <t>刺球仙人掌</t>
  </si>
  <si>
    <t>https://drive.google.com/file/d/1H0V8Fdmr17Can4HqZ_kn86nlGowUtbfx/view?usp=drive_link</t>
  </si>
  <si>
    <t>No.043</t>
  </si>
  <si>
    <t>博士的寶物</t>
  </si>
  <si>
    <t>遺失物(大型) ×1、床鋪(全部) ×1、博士的寶物 ×1</t>
  </si>
  <si>
    <t>巨蔓藤博士（★）</t>
  </si>
  <si>
    <t>https://drive.google.com/file/d/1SLPkA9bY97lvvIYtDio7KCvgbvmfmxa4/view?usp=drive_link</t>
  </si>
  <si>
    <t>No.044</t>
  </si>
  <si>
    <t>圓木的溫馨感</t>
  </si>
  <si>
    <t>圓木椅 ×1、圓木桌 ×1、圓木床 ×1</t>
  </si>
  <si>
    <t>https://drive.google.com/file/d/1ADJagxmVD3qisbF8wZyyA42hfviJszKd/view?usp=drive_link</t>
  </si>
  <si>
    <t>No.045</t>
  </si>
  <si>
    <t>樹果大集合</t>
  </si>
  <si>
    <t>(樹果籃與相關裝飾)</t>
  </si>
  <si>
    <t>黏美龍（★★）</t>
  </si>
  <si>
    <t>https://drive.google.com/file/d/1NAInQBxrYUoTGzaaoM8Sue0xS76RWJu2/view?usp=drive_link</t>
  </si>
  <si>
    <t>No.046</t>
  </si>
  <si>
    <t>庭園陽台</t>
  </si>
  <si>
    <t>原野之花 ×4、花園燈 ×1、花園椅 ×1</t>
  </si>
  <si>
    <t>妙蛙花</t>
  </si>
  <si>
    <t>https://drive.google.com/file/d/1qyi1sEe_mSo-GI6Rv001JV8cjgE2BxI6/view?usp=drive_link</t>
  </si>
  <si>
    <t>No.047</t>
  </si>
  <si>
    <t>樹蔭下熟睡的卡比獸</t>
  </si>
  <si>
    <t>大樹 ×1、打瞌睡床 ×1</t>
  </si>
  <si>
    <t>小卡比獸（空空鎮)、卡比獸（空空鎮)</t>
  </si>
  <si>
    <t>https://drive.google.com/file/d/1PCKRG5pB-QE4sc8xjdHb0uOIiYD4lrYD/view?usp=drive_link</t>
  </si>
  <si>
    <t>No.048</t>
  </si>
  <si>
    <t>懷舊古董</t>
  </si>
  <si>
    <t>古董衣櫃/床鋪/梳妝台/椅子 各1</t>
  </si>
  <si>
    <t>雙彈瓦斯（★）、卡比獸（★）</t>
  </si>
  <si>
    <t>https://drive.google.com/file/d/1ohDxUQ0Qm6eGyctH6qsogGTzgYaD5pBC/view?usp=drive_link</t>
  </si>
  <si>
    <t>No.049</t>
  </si>
  <si>
    <t>滿滿是寶可夢球</t>
  </si>
  <si>
    <t>寶可夢球桌燈/床鋪/桌子/沙發 各1</t>
  </si>
  <si>
    <t>蔓藤怪（★）</t>
  </si>
  <si>
    <t>https://drive.google.com/file/d/1fmevb2bbfXZshEVAZHnl6UMm42K-I58v/view?usp=drive_link</t>
  </si>
  <si>
    <t>No.050</t>
  </si>
  <si>
    <t>黃色的草叢</t>
  </si>
  <si>
    <t>黃草 ×4</t>
  </si>
  <si>
    <t>圓絲蛛、阿利多斯、強顎雞母蟲</t>
  </si>
  <si>
    <t>https://drive.google.com/file/d/1EB79Pl5ambsyB1nZJCYXPpKBIAaY9j_G/view?usp=drive_link</t>
  </si>
  <si>
    <t>No.051</t>
  </si>
  <si>
    <t>樹蔭的黃色草叢</t>
  </si>
  <si>
    <t>大樹 ×1、黃草 ×4</t>
  </si>
  <si>
    <t>幕下力士、超音蝠、大嘴蝠、鐵掌力士</t>
  </si>
  <si>
    <t>https://drive.google.com/file/d/12nwCh5RCg_i-D4YjOvzO-2qf7OGt62N9/view?usp=drive_link</t>
  </si>
  <si>
    <t>No.052</t>
  </si>
  <si>
    <t>高崗的黃色草叢</t>
  </si>
  <si>
    <t>黃草 ×4、高處 ×1</t>
  </si>
  <si>
    <t>長翅鷗、大嘴鷗</t>
  </si>
  <si>
    <t>https://drive.google.com/file/d/1hLh6Fsmufcj7-aAQmd0pezJ3rmDh74Rl/view?usp=drive_link</t>
  </si>
  <si>
    <t>No.053</t>
  </si>
  <si>
    <t>濕潤的黃色草叢</t>
  </si>
  <si>
    <t>黃草 ×4、水 ×2</t>
  </si>
  <si>
    <t>露力麗、瑪力露、波加曼、波皇子</t>
  </si>
  <si>
    <t>https://drive.google.com/file/d/1X5jpWCj3zcY826cvMXqdz6DnlrLz33hW/view?usp=drive_link</t>
  </si>
  <si>
    <t>No.054</t>
  </si>
  <si>
    <t>沼澤的草叢</t>
  </si>
  <si>
    <t>帕底亞烏波(暗沉沉海邊)、土王</t>
  </si>
  <si>
    <t>https://drive.google.com/file/d/1STxmdf-BcmA-jc34kq7YqZAcB8yd8Mxj/view?usp=drive_link</t>
  </si>
  <si>
    <t>No.055</t>
  </si>
  <si>
    <t>草叢的自動販賣機</t>
  </si>
  <si>
    <t>咩利羊</t>
  </si>
  <si>
    <t>https://drive.google.com/file/d/1uDyG7_w5c8ibRNdoQPEeJQHAhBg68z1s/view?usp=drive_link</t>
  </si>
  <si>
    <t>No.056</t>
  </si>
  <si>
    <t>涼爽的花田</t>
  </si>
  <si>
    <t>海邊之花 ×4</t>
  </si>
  <si>
    <t>布撥、索羅亞、索羅亞克</t>
  </si>
  <si>
    <t>https://drive.google.com/file/d/1E0M2_J0iRdNPUDTqqgRvHLBrJuCE2pyM/view?usp=drive_link</t>
  </si>
  <si>
    <t>No.057</t>
  </si>
  <si>
    <t>南國氣氛</t>
  </si>
  <si>
    <t>大椰子樹 ×1、海邊之花 ×4</t>
  </si>
  <si>
    <t>椰蛋樹、臭臭花、蛋蛋</t>
  </si>
  <si>
    <t>https://drive.google.com/file/d/1iojjChVEG5UUsgKO0spUAFgFi5I3HFyJ/view?usp=drive_link</t>
  </si>
  <si>
    <t>No.058</t>
  </si>
  <si>
    <t>風之花田</t>
  </si>
  <si>
    <t>https://drive.google.com/file/d/19nBuD_j1nyWqEMKloMignQPW-Aty4rSx/view?usp=drive_link</t>
  </si>
  <si>
    <t>No.059</t>
  </si>
  <si>
    <t>沙灘的樹蔭</t>
  </si>
  <si>
    <t>大椰子樹 ×1、海灘椅 ×1</t>
  </si>
  <si>
    <t>蛋蛋</t>
  </si>
  <si>
    <t>https://drive.google.com/file/d/1K-x6U1R5TwcfGZmJpT4Jfq0TwSitK0yW/view?usp=drive_link</t>
  </si>
  <si>
    <t>No.060</t>
  </si>
  <si>
    <t>熱帶海岸邊</t>
  </si>
  <si>
    <t>大椰子樹 ×1、樹籬 ×4、海水 ×2</t>
  </si>
  <si>
    <t>拉普拉斯</t>
  </si>
  <si>
    <t>https://drive.google.com/file/d/1bsdgIww8ksCeP9rs6Mth5mgemyYdAYXm/view?usp=drive_link</t>
  </si>
  <si>
    <t>No.061</t>
  </si>
  <si>
    <t>休息好地方</t>
  </si>
  <si>
    <t>紙箱 ×1、乾草床 ×1</t>
  </si>
  <si>
    <t>喵喵</t>
  </si>
  <si>
    <t>https://drive.google.com/file/d/12YlUaw2FaG0CyfaTVfyTthzhF3bHII_M/view?usp=drive_link</t>
  </si>
  <si>
    <t>No.062</t>
  </si>
  <si>
    <t>來收拾吧</t>
  </si>
  <si>
    <t>紙箱 ×1、玩具(任意) ×2</t>
  </si>
  <si>
    <t>卡蒂狗</t>
  </si>
  <si>
    <t>https://drive.google.com/file/d/1IoVi4K6ovzGGn1A_TvkaQis5yKpuxR3g/view?usp=drive_link</t>
  </si>
  <si>
    <t>No.063</t>
  </si>
  <si>
    <t>垃圾集中站</t>
  </si>
  <si>
    <t>垃圾桶 ×1、告示牌 ×1、垃圾袋 ×1</t>
  </si>
  <si>
    <t>破破袋、瓦斯彈（空空鎮)、雙彈瓦斯（空空鎮)、灰塵山</t>
  </si>
  <si>
    <t>https://drive.google.com/file/d/1jjhhd0j0QZWGdnQkI9QReb_VY6I5aLfR/view?usp=drive_link</t>
  </si>
  <si>
    <t>No.064</t>
  </si>
  <si>
    <t>垃圾桶擺好擺滿</t>
  </si>
  <si>
    <t>垃圾桶 ×4</t>
  </si>
  <si>
    <t>三合一磁怪、電擊獸</t>
  </si>
  <si>
    <t>https://drive.google.com/file/d/1Xa5IswDjpgsxb-XLZoZTCWGBBHljN2vr/view?usp=drive_link</t>
  </si>
  <si>
    <t>No.065</t>
  </si>
  <si>
    <t>垃圾場</t>
  </si>
  <si>
    <t>垃圾袋 ×1</t>
  </si>
  <si>
    <t>叉字蝠</t>
  </si>
  <si>
    <t>https://drive.google.com/file/d/1wjqAc6GQscy8Hn66S8-JtndnvqelwMsb/view?usp=drive_link</t>
  </si>
  <si>
    <t>No.066</t>
  </si>
  <si>
    <t>公園的長椅</t>
  </si>
  <si>
    <t>椅子(長條) ×1、垃圾桶 ×1</t>
  </si>
  <si>
    <t>霹靂電球</t>
  </si>
  <si>
    <t>https://drive.google.com/file/d/1MppskLBHgfOYqsgnRZAoYuNvxFMNuPPY/view?usp=drive_link</t>
  </si>
  <si>
    <t>No.067</t>
  </si>
  <si>
    <t>餓肚肚餐廳</t>
  </si>
  <si>
    <t>椅子 ×1、菜單板 ×1、桌子 ×1、盤子食物 ×1</t>
  </si>
  <si>
    <t>布撥、布土撥</t>
  </si>
  <si>
    <t>https://drive.google.com/file/d/113CXhZMNDxIUsiDpLoyu_HUh_oRWFDoX/view?usp=drive_link</t>
  </si>
  <si>
    <t>No.068</t>
  </si>
  <si>
    <t>雅緻餐廳</t>
  </si>
  <si>
    <t>盤中食物 ×1、單枝花瓶 ×1、推車 ×1、雅緻桌椅</t>
  </si>
  <si>
    <t>帝王拿波（★★）</t>
  </si>
  <si>
    <t>https://drive.google.com/file/d/18S7ZAuxq-oZUMAXJ6cgbqFr7JRwjuhhf/view?usp=drive_link</t>
  </si>
  <si>
    <t>No.069</t>
  </si>
  <si>
    <t>咕咕啾啾大餐</t>
  </si>
  <si>
    <t>木製鳥巢箱 ×1、桌子 ×1、盤子上的食物 ×1</t>
  </si>
  <si>
    <t>火雉雞、火焰雞</t>
  </si>
  <si>
    <t>https://drive.google.com/file/d/19GWfDhUNC9shoeGXxyxMP3odHvfkD4Mi/view?usp=drive_link</t>
  </si>
  <si>
    <t>No.070</t>
  </si>
  <si>
    <t>咖啡空間</t>
  </si>
  <si>
    <t>椅子 ×2、馬克杯 ×1、菜單板 ×1</t>
  </si>
  <si>
    <t>布土撥、巴布土撥</t>
  </si>
  <si>
    <t>https://drive.google.com/file/d/1R3ROkqoN9TPR29Mr8qY1qHD6BYQzDjG1/view?usp=drive_link</t>
  </si>
  <si>
    <t>No.071</t>
  </si>
  <si>
    <t>海灘套組</t>
  </si>
  <si>
    <t>海灘椅 ×1、海灘傘 ×1</t>
  </si>
  <si>
    <t>米立龍</t>
  </si>
  <si>
    <t>https://drive.google.com/file/d/1t-1nGGh81x1fwCPDKM2Og-LRJjxtiqLH/view?usp=drive_link</t>
  </si>
  <si>
    <t>No.072</t>
  </si>
  <si>
    <t>燈光舞台</t>
  </si>
  <si>
    <t>聚光燈 ×2、舞台 ×1</t>
  </si>
  <si>
    <t>電擊獸（★）、電擊魔獸（★★）</t>
  </si>
  <si>
    <t>https://drive.google.com/file/d/1lsc6oZZ-s2G4aNSGW0AEvD4ltw2BzY7v/view?usp=drive_link</t>
  </si>
  <si>
    <t>No.073</t>
  </si>
  <si>
    <t>小心機關</t>
  </si>
  <si>
    <t>氣球 ×2、驚嚇箱 ×1</t>
  </si>
  <si>
    <t>索羅亞克、耿鬼、鬼斯通</t>
  </si>
  <si>
    <t>https://drive.google.com/file/d/1ai78REM-eemzyYinMbxnh5WPEx6TQ00f/view?usp=drive_link</t>
  </si>
  <si>
    <t>No.074</t>
  </si>
  <si>
    <t>夜晚的慶典會場</t>
  </si>
  <si>
    <t>氣球 ×2、雷丘告示牌 ×1</t>
  </si>
  <si>
    <t>茸茸羊</t>
  </si>
  <si>
    <t>https://drive.google.com/file/d/1x2Cz9BCtYa160-D1uF813mibNMFzR7_h/view?usp=drive_link</t>
  </si>
  <si>
    <t>No.075</t>
  </si>
  <si>
    <t>更衣區</t>
  </si>
  <si>
    <t>衣櫥 ×1、鏡子(大型) ×1</t>
  </si>
  <si>
    <t>泡沫栗鼠</t>
  </si>
  <si>
    <t>https://drive.google.com/file/d/1iJdQ1uVu53wGBbQktIDGXuLaeA1qXGOI/view?usp=drive_link</t>
  </si>
  <si>
    <t>No.076</t>
  </si>
  <si>
    <t>更衣中別偷看</t>
  </si>
  <si>
    <t>隔板 ×2、衣櫃 ×1、梳妝台 ×1</t>
  </si>
  <si>
    <t>泡沫栗鼠（★）、奇諾栗鼠（★★）</t>
  </si>
  <si>
    <t>https://drive.google.com/file/d/1Fz5zba3oQByrvzmMqakxEk54294MmoDS/view?usp=drive_link</t>
  </si>
  <si>
    <t>No.077</t>
  </si>
  <si>
    <t>用毛線來織東西吧</t>
  </si>
  <si>
    <t>椅子 ×1、桌子 ×1、編織套組 ×1</t>
  </si>
  <si>
    <t>咩利羊、茸茸羊</t>
  </si>
  <si>
    <t>https://drive.google.com/file/d/1GThbROnRLNEAD7UCThDRkdiXn8BcwFzj/view?usp=drive_link</t>
  </si>
  <si>
    <t>No.078</t>
  </si>
  <si>
    <t>溫泉沖洗區</t>
  </si>
  <si>
    <t>椅子 ×1</t>
  </si>
  <si>
    <t>可達鴨、哥達鴨</t>
  </si>
  <si>
    <t>https://drive.google.com/file/d/1jqgmWru-hr0owVFVhi_xVlq39y-k-WoX/view?usp=drive_link</t>
  </si>
  <si>
    <t>No.079</t>
  </si>
  <si>
    <t>度假區的備餐時刻</t>
  </si>
  <si>
    <t>椰子樹 ×1、椅子 ×1、盤子食物 ×1、營火 ×1</t>
  </si>
  <si>
    <t>火雉雞、卡蒂狗</t>
  </si>
  <si>
    <t>https://drive.google.com/file/d/1HAJO4vktr3MTOddQq4RvdbeRhEC966jY/view?usp=drive_link</t>
  </si>
  <si>
    <t>No.080</t>
  </si>
  <si>
    <t>打包好囉</t>
  </si>
  <si>
    <t>手推車 ×1、紙箱 ×2</t>
  </si>
  <si>
    <t>幕下力士、大蔥鴨</t>
  </si>
  <si>
    <t>https://drive.google.com/file/d/1VQ4EzJlJCol4GUelGFZ7xJdryVIxifzP/view?usp=drive_link</t>
  </si>
  <si>
    <t>No.081</t>
  </si>
  <si>
    <t>痊癒前好好休息</t>
  </si>
  <si>
    <t>床鋪 ×1、急救箱 ×1、自然風櫃子 ×1</t>
  </si>
  <si>
    <t>淺淺丘（★★）、吉利蛋（★）</t>
  </si>
  <si>
    <t>https://drive.google.com/file/d/1LTyDHt1oOpWhy_2JPujWZv9E1-gp0SvM/view?usp=drive_link</t>
  </si>
  <si>
    <t>No.082</t>
  </si>
  <si>
    <t>鬧鐘床鋪空間</t>
  </si>
  <si>
    <t>床鋪 ×1、桌子 ×1</t>
  </si>
  <si>
    <t>小福蛋</t>
  </si>
  <si>
    <t>https://drive.google.com/file/d/1VshsAesA_bH6aeJkHOwd40kBXj7AoVgq/view?usp=drive_link</t>
  </si>
  <si>
    <t>No.083</t>
  </si>
  <si>
    <t>自動販賣機旁偷個閒</t>
  </si>
  <si>
    <t>椅子(長條) ×1</t>
  </si>
  <si>
    <t>強顎雞母蟲、蟲電寶</t>
  </si>
  <si>
    <t>https://drive.google.com/file/d/1fnhhAhblqFuJ3cwEEez6dxk6rF_7K7yq/view?usp=drive_link</t>
  </si>
  <si>
    <t>No.084</t>
  </si>
  <si>
    <t>自動販賣機套組</t>
  </si>
  <si>
    <t>垃圾桶 ×1</t>
  </si>
  <si>
    <t>電擊怪</t>
  </si>
  <si>
    <t>https://drive.google.com/file/d/1FGQgbJcMjOZdDHGKQh4nRfbDiIJgNkDB/view?usp=drive_link</t>
  </si>
  <si>
    <t>No.085</t>
  </si>
  <si>
    <t>迷你遊戲城</t>
  </si>
  <si>
    <t>椅子 ×1、遊戲街機 ×1、打擊測力機 ×1</t>
  </si>
  <si>
    <t>三合一磁怪（★）、自爆磁怪（★★）</t>
  </si>
  <si>
    <t>https://drive.google.com/file/d/1C9f8Bm5PsnCpAB9x9HVOzKEjRXO7pfJ8/view?usp=drive_link</t>
  </si>
  <si>
    <t>No.086</t>
  </si>
  <si>
    <t>水力發電廠</t>
  </si>
  <si>
    <t>水 ×2、瀑布 ×1</t>
  </si>
  <si>
    <t>波皇子</t>
  </si>
  <si>
    <t>https://drive.google.com/file/d/1Ik0ilv4oKYCPinSO8Gf-shw-RzxIq9Yr/view?usp=drive_link</t>
  </si>
  <si>
    <t>No.087</t>
  </si>
  <si>
    <t>火力發電廠</t>
  </si>
  <si>
    <t>金屬桶 x1、火力發電機 x1</t>
  </si>
  <si>
    <t>力壯雞、火焰雞</t>
  </si>
  <si>
    <t>https://drive.google.com/file/d/1cw4nIwPDdLHnyjDMQHqQN4OZuUXsFh2H/view?usp=drive_link</t>
  </si>
  <si>
    <t>No.088</t>
  </si>
  <si>
    <t>碼頭</t>
  </si>
  <si>
    <t>棧橋 ×4、路燈 ×1、海水 ×2</t>
  </si>
  <si>
    <t>瑪力露、瑪力露麗</t>
  </si>
  <si>
    <t>https://drive.google.com/file/d/1zB4edv_gXaqsT4x8NDqCQpYkw2CJSAMt/view?usp=drive_link</t>
  </si>
  <si>
    <t>No.089</t>
  </si>
  <si>
    <t>詭異書房</t>
  </si>
  <si>
    <t>書架 ×1、自然風桌子 ×1、雅緻沙發 ×1、細蠟燭 ×1</t>
  </si>
  <si>
    <t>鬼斯（★）、鬼斯通（★★）</t>
  </si>
  <si>
    <t>https://drive.google.com/file/d/193JslbARFcl0XwM03w1lK0v9eB04Zyvh/view?usp=drive_link</t>
  </si>
  <si>
    <t>No.090</t>
  </si>
  <si>
    <t>水手家家酒</t>
  </si>
  <si>
    <t>木桶 ×2、發射筒 ×2、舵輪 ×1</t>
  </si>
  <si>
    <t>霹靂電球（★）、頑皮雷彈（★）</t>
  </si>
  <si>
    <t>https://drive.google.com/file/d/1O1SrpWkapHoT-mG-ktdb0t-3fMnNt5TV/view?usp=drive_link</t>
  </si>
  <si>
    <t>No.091</t>
  </si>
  <si>
    <t>到收銀檯結帳</t>
  </si>
  <si>
    <t>桌子 ×2</t>
  </si>
  <si>
    <t>喵喵、小福蛋、差不多娃娃、大嘴娃（空空鎮)</t>
  </si>
  <si>
    <t>https://drive.google.com/file/d/1EnZB5poU8a1wIv5NwVGoo89Bsa1HnntY/view?usp=drive_link</t>
  </si>
  <si>
    <t>No.092</t>
  </si>
  <si>
    <t>小小畫室</t>
  </si>
  <si>
    <t>椅子 ×1、畫布 ×1</t>
  </si>
  <si>
    <t>圖圖犬(彩繪)（★）</t>
  </si>
  <si>
    <t>https://drive.google.com/file/d/1fw7PAjSn-T8rZdkousKFZUZ0h6vjk8Br/view?usp=drive_link</t>
  </si>
  <si>
    <t>No.093</t>
  </si>
  <si>
    <t>供奉美食</t>
  </si>
  <si>
    <t>(特殊組合)</t>
  </si>
  <si>
    <t>苔卡比獸</t>
  </si>
  <si>
    <t>https://drive.google.com/file/d/13mJNxfsg7aWfeSgzLTH6n5EAsdoCwtBK/view?usp=drive_link</t>
  </si>
  <si>
    <t>No.094</t>
  </si>
  <si>
    <t>皮卡丘空間</t>
  </si>
  <si>
    <t>皮卡丘沙發 ×1、皮卡丘布偶 ×1</t>
  </si>
  <si>
    <t>謎擬Ｑ</t>
  </si>
  <si>
    <t>https://drive.google.com/file/d/1o3Ed9-K_1SCfG8JtK5rVF9pKfS5ulK_9/view?usp=drive_link</t>
  </si>
  <si>
    <t>No.095</t>
  </si>
  <si>
    <t>超可愛空間</t>
  </si>
  <si>
    <t>可愛梳妝台/床鋪/檯燈/桌子/沙發 各1</t>
  </si>
  <si>
    <t>幸福蛋（★）</t>
  </si>
  <si>
    <t>https://drive.google.com/file/d/1zJXrHqinjWSEcvOf8zNYhXvFFGC49Tbg/view?usp=drive_link</t>
  </si>
  <si>
    <t>No.096</t>
  </si>
  <si>
    <t>歡迎光臨度假村</t>
  </si>
  <si>
    <t>度假村燈飾 ×1</t>
  </si>
  <si>
    <t>阿勃梭魯</t>
  </si>
  <si>
    <t>https://drive.google.com/file/d/1SykO3UOgIy_yHnUWErzxMIF6pkqz2nDo/view?usp=drive_link</t>
  </si>
  <si>
    <t>No.097</t>
  </si>
  <si>
    <t>自然風格的生活</t>
  </si>
  <si>
    <t>自然風桌子/床鋪/檯燈/沙發 各1</t>
  </si>
  <si>
    <t>電龍（★★）</t>
  </si>
  <si>
    <t>https://drive.google.com/file/d/108mRn_DjQym2jkd_qHJW1RqFFs_b6tK4/view?usp=drive_link</t>
  </si>
  <si>
    <t>No.098</t>
  </si>
  <si>
    <t>紅色的草叢</t>
  </si>
  <si>
    <t>紅草 ×4</t>
  </si>
  <si>
    <t>炎兔兒、利歐路、圓法師、閃焰王牌</t>
  </si>
  <si>
    <t>https://drive.google.com/file/d/1gkKfwUJbsXBK3_mp3LCn59gMzC4Dj8tB/view?usp=drive_link</t>
  </si>
  <si>
    <t>No.099</t>
  </si>
  <si>
    <t>樹蔭的紅色草叢</t>
  </si>
  <si>
    <t>大樹 ×1、紅草 ×4</t>
  </si>
  <si>
    <t>地鼠、盆才怪、三地鼠、樹才怪</t>
  </si>
  <si>
    <t>https://drive.google.com/file/d/1k3noqaRRNiEJzbucYArWXveYmcbr9827/view?usp=drive_link</t>
  </si>
  <si>
    <t>No.100</t>
  </si>
  <si>
    <t>三角樹蔭下的岩石與草叢</t>
  </si>
  <si>
    <t>三角樹 ×1、紅草 ×4、大石頭 ×1</t>
  </si>
  <si>
    <t>投羽梟、狙射樹梟</t>
  </si>
  <si>
    <t>https://drive.google.com/file/d/1pspQVmiWUDkcfoChhch7sQmYIp3M9eyQ/view?usp=drive_link</t>
  </si>
  <si>
    <t>No.101</t>
  </si>
  <si>
    <t>濕潤的紅色草叢</t>
  </si>
  <si>
    <t>紅草 ×4、水 ×2</t>
  </si>
  <si>
    <t>蓮葉童子、蓮帽小童</t>
  </si>
  <si>
    <t>https://drive.google.com/file/d/17sy9abe36MDr7xTISqJzGI1tN1YSQAbY/view?usp=drive_link</t>
  </si>
  <si>
    <t>No.102</t>
  </si>
  <si>
    <t>高崗的紅色草叢</t>
  </si>
  <si>
    <t>紅草 ×4、高處 ×1</t>
  </si>
  <si>
    <t>聒噪鳥、黑暗鴉、烏鴉頭頭</t>
  </si>
  <si>
    <t>https://drive.google.com/file/d/1GOdNRy5ja5LWORUqYvc9XlLqUm8wpWa4/view?usp=drive_link</t>
  </si>
  <si>
    <t>No.103</t>
  </si>
  <si>
    <t>草叢訓練場</t>
  </si>
  <si>
    <t>沙包袋 ×2、紅草 ×4</t>
  </si>
  <si>
    <t>豪力、怪力</t>
  </si>
  <si>
    <t>https://drive.google.com/file/d/1IEYNl38ZOXO8UPp1ntPdTskgjHcpdo_P/view?usp=drive_link</t>
  </si>
  <si>
    <t>No.104</t>
  </si>
  <si>
    <t>優雅的花田</t>
  </si>
  <si>
    <t>岩場之花 ×4</t>
  </si>
  <si>
    <t>皮寶寶、狗仔包、皮皮、麻花犬、皮可西</t>
  </si>
  <si>
    <t>https://drive.google.com/file/d/146JgxLj3i8xHlW4eRl3JmaQyybVITos4/view?usp=drive_link</t>
  </si>
  <si>
    <t>No.105</t>
  </si>
  <si>
    <t>樹蔭的優雅花田</t>
  </si>
  <si>
    <t>黑暗鴉、燃燒蟲、火神蛾</t>
  </si>
  <si>
    <t>https://drive.google.com/file/d/1YM6A7EFdJoqRqMNXjauDJ6IWm6aFm8At/view?usp=drive_link</t>
  </si>
  <si>
    <t>No.106</t>
  </si>
  <si>
    <t>濕潤的優雅花田</t>
  </si>
  <si>
    <t>水 ×2、岩場之花 ×4</t>
  </si>
  <si>
    <t>阿柏蛇、阿柏怪</t>
  </si>
  <si>
    <t>https://drive.google.com/file/d/1Jq7F2-34qwnN2FeqM_iV8y22vXE0M1Tp/view?usp=drive_link</t>
  </si>
  <si>
    <t>No.107</t>
  </si>
  <si>
    <t>花田舞台</t>
  </si>
  <si>
    <t>岩場之花 ×4、樹樁 ×1、蘑菇燈 ×2</t>
  </si>
  <si>
    <t>胖丁、寶寶丁、蚊香蛙皇</t>
  </si>
  <si>
    <t>https://drive.google.com/file/d/1DM0zCwYIV0R3Bt_Kv7-YFT7uyv1kWYAU/view?usp=drive_link</t>
  </si>
  <si>
    <t>No.108</t>
  </si>
  <si>
    <t>農活辛苦(推測)</t>
  </si>
  <si>
    <t>蔬菜田 ×4、獨輪手推車 ×1</t>
  </si>
  <si>
    <t>班基拉斯</t>
  </si>
  <si>
    <t>https://drive.google.com/file/d/1sJy7PlLAnJNwsMfl1Kd8a1wIMc4bq54x/view?usp=drive_link</t>
  </si>
  <si>
    <t>No.109</t>
  </si>
  <si>
    <t>快樂無比的水坑</t>
  </si>
  <si>
    <t>浮萍 ×4、水 ×2</t>
  </si>
  <si>
    <t>樂天河童、蓮葉童子</t>
  </si>
  <si>
    <t>https://drive.google.com/file/d/1VB3-VBZktnj08gQ7c_6ef1yKEZeT-S_9/view?usp=drive_link</t>
  </si>
  <si>
    <t>No.110</t>
  </si>
  <si>
    <t>滿滿是苔</t>
  </si>
  <si>
    <t>青苔 ×4</t>
  </si>
  <si>
    <t>幼基拉斯、班基拉斯</t>
  </si>
  <si>
    <t>https://drive.google.com/file/d/1SAYmndMIku8qN6RzKf2NVKxHuVARCU3i/view?usp=drive_link</t>
  </si>
  <si>
    <t>No.111</t>
  </si>
  <si>
    <t>滿滿是苔的岩石</t>
  </si>
  <si>
    <t>青苔 ×4、苔岩 ×1</t>
  </si>
  <si>
    <t>隆隆石、隆隆岩</t>
  </si>
  <si>
    <t>https://drive.google.com/file/d/1hrqnW6nRRtWwxYg5Ce1YsEQJkRY5tF6B/view?usp=drive_link</t>
  </si>
  <si>
    <t>No.112</t>
  </si>
  <si>
    <t>生苔的溫泉</t>
  </si>
  <si>
    <t>青苔 ×4、溫泉 ×2</t>
  </si>
  <si>
    <t>煤炭龜</t>
  </si>
  <si>
    <t>https://drive.google.com/file/d/1cGxcu6RzQ4jhuxPfW-YL06Q4wx_viFKz/view?usp=drive_link</t>
  </si>
  <si>
    <t>No.113</t>
  </si>
  <si>
    <t>露天溫泉</t>
  </si>
  <si>
    <t>(溫泉組)</t>
  </si>
  <si>
    <t>騰蹴小將</t>
  </si>
  <si>
    <t>https://drive.google.com/file/d/12FmZmUtnhoS8XGay9mYTVtYCNIvVWO6_/view?usp=drive_link</t>
  </si>
  <si>
    <t>No.114</t>
  </si>
  <si>
    <t>養生溫泉</t>
  </si>
  <si>
    <t>水桶 ×1</t>
  </si>
  <si>
    <t>蚊香蛙皇</t>
  </si>
  <si>
    <t>https://drive.google.com/file/d/15DI_6pjmbDUy3RrRMk_OZWAdqda4Ksu0/view?usp=drive_link</t>
  </si>
  <si>
    <t>No.115</t>
  </si>
  <si>
    <t>熔岩熔岩熱呼呼</t>
  </si>
  <si>
    <t>滾燙岩石 ×1、岩漿 ×2</t>
  </si>
  <si>
    <t>炭小侍、火神蛾</t>
  </si>
  <si>
    <t>https://drive.google.com/file/d/1NGChOwZmkw6M3zQYWxhRxkoSOGhGuM7G/view?usp=drive_link</t>
  </si>
  <si>
    <t>No.116</t>
  </si>
  <si>
    <t>挖挖又燒燒</t>
  </si>
  <si>
    <t>獨輪手推車 ×1、熔爐 ×1、挖礦工具 ×1</t>
  </si>
  <si>
    <t>鴨嘴火獸</t>
  </si>
  <si>
    <t>https://drive.google.com/file/d/1R02VnJlKjzqwl6GefKg2Jmk3rqxX1fwK/view?usp=drive_link</t>
  </si>
  <si>
    <t>No.117</t>
  </si>
  <si>
    <t>鏘啷鏘啷鋼構工程</t>
  </si>
  <si>
    <t>獨輪手推車 ×1、沙包袋 ×1、挖礦工具 ×1</t>
  </si>
  <si>
    <t>大鋼蛇</t>
  </si>
  <si>
    <t>https://drive.google.com/file/d/1pk9eq3TpwTRBdoansEgXgWBLVtz9fap1/view?usp=drive_link</t>
  </si>
  <si>
    <t>No.118</t>
  </si>
  <si>
    <t>詭異的白色岩石</t>
  </si>
  <si>
    <t>青苔 ×4、木箱 ×1、提燈 ×1</t>
  </si>
  <si>
    <t>晶光芽</t>
  </si>
  <si>
    <t>https://drive.google.com/file/d/1kGJcTFs8HPRoJsrRQXeDA7yxvBd-2TI3/view?usp=drive_link</t>
  </si>
  <si>
    <t>No.119</t>
  </si>
  <si>
    <t>在置物場吃點東西</t>
  </si>
  <si>
    <t>盤中食物/木箱/提燈/木桶 各1</t>
  </si>
  <si>
    <t>地鼠、晶光芽、晶光花（★）</t>
  </si>
  <si>
    <t>https://drive.google.com/file/d/1E58EEU4ZjNrKeiWa9psA_gtRxoFxxcQv/view?usp=drive_link</t>
  </si>
  <si>
    <t>No.120</t>
  </si>
  <si>
    <t>充滿期待的餐桌</t>
  </si>
  <si>
    <t>派對餐盤 ×4、椅子(長) ×2、桌子(大) ×1</t>
  </si>
  <si>
    <t>吞食獸（★）</t>
  </si>
  <si>
    <t>https://drive.google.com/file/d/1y6IzDYs98FoTT5N7_yaFospC2E7J5Bef/view?usp=drive_link</t>
  </si>
  <si>
    <t>No.121</t>
  </si>
  <si>
    <t>大口吃麵包工坊</t>
  </si>
  <si>
    <t>狗仔包、麻花犬</t>
  </si>
  <si>
    <t>https://drive.google.com/file/d/1YtX2_keh_1Zbkn1vDJYe-7Be3T06hehR/view?usp=drive_link</t>
  </si>
  <si>
    <t>No.122</t>
  </si>
  <si>
    <t>迷你廚房</t>
  </si>
  <si>
    <t>(廚房組)</t>
  </si>
  <si>
    <t>鴨嘴炎獸</t>
  </si>
  <si>
    <t>https://drive.google.com/file/d/1PqCrJkLIrRJBSU5XuyiwhtHwvU1Aea4C/view?usp=drive_link</t>
  </si>
  <si>
    <t>No.123</t>
  </si>
  <si>
    <t>大家一起派對</t>
  </si>
  <si>
    <t>樹才怪</t>
  </si>
  <si>
    <t>https://drive.google.com/file/d/1JZ2jacBZoFP1sqJTJCqQe49VEERlSyag/view?usp=drive_link</t>
  </si>
  <si>
    <t>No.124</t>
  </si>
  <si>
    <t>悠閒回顧照片</t>
  </si>
  <si>
    <t>(相框或相關)</t>
  </si>
  <si>
    <t>毒電嬰(凸隆隆山地)</t>
  </si>
  <si>
    <t>https://drive.google.com/file/d/1bvvxwOBiLINeGD0UY48aWXne-hF7oecl/view?usp=drive_link</t>
  </si>
  <si>
    <t>No.125</t>
  </si>
  <si>
    <t>啁啁啾啾演唱會</t>
  </si>
  <si>
    <t>棲木 ×1、直立式麥克風 ×1</t>
  </si>
  <si>
    <t>聒噪鳥、烏鴉頭頭</t>
  </si>
  <si>
    <t>https://drive.google.com/file/d/1fpGP8NMLbIv5MoQNiTidzyaJ-iXJxefj/view?usp=drive_link</t>
  </si>
  <si>
    <t>No.126</t>
  </si>
  <si>
    <t>演唱會舞台</t>
  </si>
  <si>
    <t>喇叭 ×2、麥克風 ×1、舞台台座 ×1</t>
  </si>
  <si>
    <t>胖丁、胖可丁</t>
  </si>
  <si>
    <t>https://drive.google.com/file/d/10WGK5eWZ1p2fog3egNegtdM08Zv05-FE/view?usp=drive_link</t>
  </si>
  <si>
    <t>No.127</t>
  </si>
  <si>
    <t>跟著節奏一二跳</t>
  </si>
  <si>
    <t>沙包 ×1、桌子 ×1、CD播放器 ×1</t>
  </si>
  <si>
    <t>豪力、利歐路、路卡利歐</t>
  </si>
  <si>
    <t>https://drive.google.com/file/d/16c9kYK_ONzW09PVSGo8YlCfbgNlb0ajO/view?usp=drive_link</t>
  </si>
  <si>
    <t>No.128</t>
  </si>
  <si>
    <t>音樂和閱讀</t>
  </si>
  <si>
    <t>雜誌架 ×1</t>
  </si>
  <si>
    <t>圓法師、音箱蟀、音響洛托姆</t>
  </si>
  <si>
    <t>https://drive.google.com/file/d/1pyhrp4xILU1sgntUVFNNqO0vLddGUnLZ/view?usp=drive_link</t>
  </si>
  <si>
    <t>No.129</t>
  </si>
  <si>
    <t>小小博物館</t>
  </si>
  <si>
    <t>隔板 ×3、台座 ×1、遺失物(大) ×1</t>
  </si>
  <si>
    <t>索財靈、風速狗</t>
  </si>
  <si>
    <t>https://drive.google.com/file/d/1b7-IHi6GRiXgIgrmZ-qMb8vBsJLrbZqQ/view?usp=drive_link</t>
  </si>
  <si>
    <t>No.130</t>
  </si>
  <si>
    <t>清爽的更衣室</t>
  </si>
  <si>
    <t>https://drive.google.com/file/d/1Ng7kXG7u4lFfO_bGk6_HI44xNhp0hbrz/view?usp=drive_link</t>
  </si>
  <si>
    <t>No.131</t>
  </si>
  <si>
    <t>銅像景點</t>
  </si>
  <si>
    <t>樹籬 ×4、告示牌 ×1</t>
  </si>
  <si>
    <t>皮皮、皮可西</t>
  </si>
  <si>
    <t>https://drive.google.com/file/d/1wgsUNYLEd0ssutK27Q0M03wh_vtT9Ahi/view?usp=drive_link</t>
  </si>
  <si>
    <t>No.132</t>
  </si>
  <si>
    <t>平交道</t>
  </si>
  <si>
    <t>鐵軌 ×1、平交道柵欄 ×1</t>
  </si>
  <si>
    <t>大炭車、小炭仔</t>
  </si>
  <si>
    <t>https://drive.google.com/file/d/1QiULuLATduwbKHunktz7aR81uBSj6O_7/view?usp=drive_link</t>
  </si>
  <si>
    <t>No.133</t>
  </si>
  <si>
    <t>主廚的廚房</t>
  </si>
  <si>
    <t>自然風桌子 ×1、時髦鍋子 ×1、盤子食物 ×1</t>
  </si>
  <si>
    <t>藏飽栗鼠(廚師)</t>
  </si>
  <si>
    <t>https://drive.google.com/file/d/1KspWe0i3nhsQvL2CLG0e9hbHB45S2ySM/view?usp=drive_link</t>
  </si>
  <si>
    <t>No.134</t>
  </si>
  <si>
    <t>極致豪華</t>
  </si>
  <si>
    <t>豪華燈/沙發/床鋪/桌子 各1</t>
  </si>
  <si>
    <t>賽富豪（★★）</t>
  </si>
  <si>
    <t>https://drive.google.com/file/d/1JMlppermeV5hDufz-hJ5o6to1kp1zoH_/view?usp=drive_link</t>
  </si>
  <si>
    <t>No.135</t>
  </si>
  <si>
    <t>沉甸甸的鐵</t>
  </si>
  <si>
    <t>鐵床鋪/鐵桌/鐵椅/提燈 各1</t>
  </si>
  <si>
    <t>巨炭山（★）</t>
  </si>
  <si>
    <t>https://drive.google.com/file/d/1lkEHdOMoKgr2Pe9NlwUdt8BJdPpcuGGM/view?usp=drive_link</t>
  </si>
  <si>
    <t>No.136</t>
  </si>
  <si>
    <t>現代生活</t>
  </si>
  <si>
    <t>工業風床鋪/桌子/椅子 各1</t>
  </si>
  <si>
    <t>狙射樹梟（★★）</t>
  </si>
  <si>
    <t>https://drive.google.com/file/d/1dg0xgWDUbOrXQKTh_MkUWfsaemdVNDvk/view?usp=drive_link</t>
  </si>
  <si>
    <t>No.137</t>
  </si>
  <si>
    <t>粉色的草叢</t>
  </si>
  <si>
    <t>粉紅草 ×4</t>
  </si>
  <si>
    <t>大顎蟻、超音波幼蟲、沙漠蜻蜓、青綿鳥、夜巡靈</t>
  </si>
  <si>
    <t>https://drive.google.com/file/d/1Kf2m8pKcblo2oFcUhFLD1RrEBwZdjZdV/view?usp=drive_link</t>
  </si>
  <si>
    <t>No.138</t>
  </si>
  <si>
    <t>樹蔭的粉色草叢</t>
  </si>
  <si>
    <t>大樹 ×1、粉紅草 ×4</t>
  </si>
  <si>
    <t>沙基拉斯、多龍梅西亞/奇、新葉喵</t>
  </si>
  <si>
    <t>https://drive.google.com/file/d/1VEiwtHaEiN-lBzhSbQLLlnLuQyr4Kxre/view?usp=drive_link</t>
  </si>
  <si>
    <t>No.139</t>
  </si>
  <si>
    <t>濕潤的粉色草叢</t>
  </si>
  <si>
    <t>粉紅草 ×4、水 ×2</t>
  </si>
  <si>
    <t>呱呱泡蛙、呱頭蛙、甲賀忍蛙</t>
  </si>
  <si>
    <t>https://drive.google.com/file/d/121iE4dkAqN7YQuxH5Vilq1n6s8r90css/view?usp=drive_link</t>
  </si>
  <si>
    <t>No.140</t>
  </si>
  <si>
    <t>高崗的粉色草叢</t>
  </si>
  <si>
    <t>粉紅草 ×4、高處 ×1</t>
  </si>
  <si>
    <t>藍鴉、電海燕、大電海燕、鋼鎧鴉</t>
  </si>
  <si>
    <t>https://drive.google.com/file/d/1uUZiAsBCJL2H-6e2ETtUiqpP7GRdLBUU/view?usp=drive_link</t>
  </si>
  <si>
    <t>No.141</t>
  </si>
  <si>
    <t>水管秘密基地</t>
  </si>
  <si>
    <t>水管 ×3、草叢(任意) ×4</t>
  </si>
  <si>
    <t>火球鼠、火岩鼠</t>
  </si>
  <si>
    <t>https://drive.google.com/file/d/1E4Vyb-c47trp4SNcqwz4fla3fCFG3HsU/view?usp=drive_link</t>
  </si>
  <si>
    <t>No.142</t>
  </si>
  <si>
    <t>軟綿綿的花田</t>
  </si>
  <si>
    <t>浮島之花 ×4</t>
  </si>
  <si>
    <t>六尾、九尾、夢妖、夢妖魔、稚山雀</t>
  </si>
  <si>
    <t>https://drive.google.com/file/d/13teYUEJFzjsGwSLKb9nbb_v1a8LQVCHd/view?usp=drive_link</t>
  </si>
  <si>
    <t>No.143</t>
  </si>
  <si>
    <t>樹蔭的軟綿綿花田</t>
  </si>
  <si>
    <t>大樹 ×1、浮島之花 ×4</t>
  </si>
  <si>
    <t>麒麟奇、奇麒麟、青藤蛇</t>
  </si>
  <si>
    <t>https://drive.google.com/file/d/1XNUingTp0kd11uwMt9vuE64xjrDT6FGy/view?usp=drive_link</t>
  </si>
  <si>
    <t>No.144</t>
  </si>
  <si>
    <t>濕潤的軟綿綿花田</t>
  </si>
  <si>
    <t>浮島之花 ×4、水 ×2</t>
  </si>
  <si>
    <t>迷你龍</t>
  </si>
  <si>
    <t>https://drive.google.com/file/d/1enmTRQoZdQWg6OJ0as8oKbBHJbMPvL7j/view?usp=drive_link</t>
  </si>
  <si>
    <t>No.145</t>
  </si>
  <si>
    <t>水邊小船</t>
  </si>
  <si>
    <t>浮萍 ×2、水 ×2</t>
  </si>
  <si>
    <t>快龍</t>
  </si>
  <si>
    <t>https://drive.google.com/file/d/1IR1TK-FHKQh4XwwXgsSq7FkylOxUSYXf/view?usp=drive_link</t>
  </si>
  <si>
    <t>No.146</t>
  </si>
  <si>
    <t>光照的瀑布</t>
  </si>
  <si>
    <t>水 ×3、踏石 ×3、火炬 ×2、瀑布 ×1</t>
  </si>
  <si>
    <t>暴鯉龍（★）</t>
  </si>
  <si>
    <t>https://drive.google.com/file/d/17_cQhUb49THeSyMLG8W3TMECWXe6w1MJ/view?usp=drive_link</t>
  </si>
  <si>
    <t>No.147</t>
  </si>
  <si>
    <t>鳥鳴花園</t>
  </si>
  <si>
    <t>木製鳥巢箱 ×1</t>
  </si>
  <si>
    <t>七夕青鳥</t>
  </si>
  <si>
    <t>https://drive.google.com/file/d/1qLMZjbLaC4CmCdiV3uJ13CYju79j9gKw/view?usp=drive_link</t>
  </si>
  <si>
    <t>No.148</t>
  </si>
  <si>
    <t>簡約浴室</t>
  </si>
  <si>
    <t>(浴室組)</t>
  </si>
  <si>
    <t>迷你龍、哈克龍</t>
  </si>
  <si>
    <t>https://drive.google.com/file/d/1g5NGzbvPExmYd0HZAtM8w-BwibDD4TJC/view?usp=drive_link</t>
  </si>
  <si>
    <t>No.149</t>
  </si>
  <si>
    <t>騎行中休息</t>
  </si>
  <si>
    <t>自動販賣機 ×4、自行車 ×1</t>
  </si>
  <si>
    <t>鐵啞鈴（★）</t>
  </si>
  <si>
    <t>https://drive.google.com/file/d/16aWA0eVvWVXK9OSnZxDMteeKqpirhJ6-/view?usp=drive_link</t>
  </si>
  <si>
    <t>No.150</t>
  </si>
  <si>
    <t>暖爐旁打盹</t>
  </si>
  <si>
    <t>石製壁爐 ×1、椅子(長條) ×1</t>
  </si>
  <si>
    <t>火岩鼠、火爆獸</t>
  </si>
  <si>
    <t>https://drive.google.com/file/d/1DOszPxMhJQz4Z7Kh3ACzUdomocd6tK9U/view?usp=drive_link</t>
  </si>
  <si>
    <t>No.151</t>
  </si>
  <si>
    <t>滿溢的超能力</t>
  </si>
  <si>
    <t>(超能場地)</t>
  </si>
  <si>
    <t>胡地</t>
  </si>
  <si>
    <t>https://drive.google.com/file/d/10zyYH8mC-qoUrVI-zqqmyhlHwFuTmbUT/view?usp=drive_link</t>
  </si>
  <si>
    <t>No.152</t>
  </si>
  <si>
    <t>水晶占卜</t>
  </si>
  <si>
    <t>椅子 ×2、桌子 ×1</t>
  </si>
  <si>
    <t>凱西、勇基拉</t>
  </si>
  <si>
    <t>https://drive.google.com/file/d/1jsglTAiKNoWlU3JBHE6Hx-YqUfHBWskT/view?usp=drive_link</t>
  </si>
  <si>
    <t>No.153</t>
  </si>
  <si>
    <t>垃圾場的電視</t>
  </si>
  <si>
    <t>垃圾袋 ×2、電視 ×1</t>
  </si>
  <si>
    <t>彷徨夜靈、黑夜魔靈（★★）</t>
  </si>
  <si>
    <t>https://drive.google.com/file/d/15wwHiLP9d3w8xx41KBH7qCN5FmvLq62u/view?usp=drive_link</t>
  </si>
  <si>
    <t>No.154</t>
  </si>
  <si>
    <t>大型垃圾場</t>
  </si>
  <si>
    <t>鋼骨 ×3、垃圾桶組 ×1、輪胎 ×1、微波爐 ×1</t>
  </si>
  <si>
    <t>小鍛匠（空空鎮)</t>
  </si>
  <si>
    <t>https://drive.google.com/file/d/1kWtxt6RjmeHCHl7-Gv_fLlhJbSH8jPjF/view?usp=drive_link</t>
  </si>
  <si>
    <t>No.155</t>
  </si>
  <si>
    <t>跟搭檔一起調查</t>
  </si>
  <si>
    <t>風速狗布偶 ×1、折疊椅 ×2、桌燈 ×1</t>
  </si>
  <si>
    <t>新葉喵、蒂蕾喵</t>
  </si>
  <si>
    <t>https://drive.google.com/file/d/1TP-I2a6YvhGosynrW8lN5GyU32Njun4m/view?usp=drive_link</t>
  </si>
  <si>
    <t>No.156</t>
  </si>
  <si>
    <t>正在保養人孔蓋</t>
  </si>
  <si>
    <t>掘山工具/鐵管堆/人孔蓋/三角錐 各1</t>
  </si>
  <si>
    <t>小鍛匠（空空鎮)、鋼鎧鴉、蚊香泳士（★★）</t>
  </si>
  <si>
    <t>https://drive.google.com/file/d/1Ig1Ifx9HsUcd2nPQZXqTwVhg4CQE76QR/view?usp=drive_link</t>
  </si>
  <si>
    <t>No.157</t>
  </si>
  <si>
    <t>亮晶晶洗手台</t>
  </si>
  <si>
    <t>壁掛鏡 ×1</t>
  </si>
  <si>
    <t>魔牆人偶</t>
  </si>
  <si>
    <t>https://drive.google.com/file/d/1WtVn0SYC_Hk4gHb_NSzTJq7N4y7g-6l-/view?usp=drive_link</t>
  </si>
  <si>
    <t>No.158</t>
  </si>
  <si>
    <t>家庭影院</t>
  </si>
  <si>
    <t>音響 ×2、電視 ×1、矮櫃組 ×1</t>
  </si>
  <si>
    <t>夢妖魔（★）</t>
  </si>
  <si>
    <t>https://drive.google.com/file/d/1iJ4soSHnnmVHz8kuQeMBM2qzJ62i0BNv/view?usp=drive_link</t>
  </si>
  <si>
    <t>No.159</t>
  </si>
  <si>
    <t>學習空間</t>
  </si>
  <si>
    <t>書架 ×1</t>
  </si>
  <si>
    <t>拉魯拉絲、奇魯莉安</t>
  </si>
  <si>
    <t>https://drive.google.com/file/d/1YTn7ymLWuwglsfxIxHAr9aE3Ge3p7FjS/view?usp=drive_link</t>
  </si>
  <si>
    <t>No.160</t>
  </si>
  <si>
    <t>律動客廳</t>
  </si>
  <si>
    <t>音符墊 ×4、音響 ×2、電視 ×1</t>
  </si>
  <si>
    <t>嗡蝠（★）、音波龍（★★）</t>
  </si>
  <si>
    <t>https://drive.google.com/file/d/13Mkg8ihhd0rbO2qCKNCojtuygq4Fgx2w/view?usp=drive_link</t>
  </si>
  <si>
    <t>No.161</t>
  </si>
  <si>
    <t>咻咻打掃</t>
  </si>
  <si>
    <t>清潔套組 ×1、浴缸 ×1</t>
  </si>
  <si>
    <t>蚊香蝌蚪（★）</t>
  </si>
  <si>
    <t>https://drive.google.com/file/d/1IAWdtvi_kLkW8Eyq7Ec3qe8Y8yt23dKC/view?usp=drive_link</t>
  </si>
  <si>
    <t>No.162</t>
  </si>
  <si>
    <t>質感化妝台</t>
  </si>
  <si>
    <t>椅子 ×1、梳妝台 ×1、加濕器 ×1</t>
  </si>
  <si>
    <t>奇魯莉安（★）、沙奈朵（★★）</t>
  </si>
  <si>
    <t>https://drive.google.com/file/d/1ob8nlaa0AZeB_wQaE9w2nk12vcAAi-mw/view?usp=drive_link</t>
  </si>
  <si>
    <t>No.163</t>
  </si>
  <si>
    <t>迷你圖書館</t>
  </si>
  <si>
    <t>書架 ×2、梯子 ×1、桌子 ×1、照明 ×1</t>
  </si>
  <si>
    <t>沙奈朵</t>
  </si>
  <si>
    <t>https://drive.google.com/file/d/1iW3L_TpupM7D6MPe0xebvGmEVQSS7mn4/view?usp=drive_link</t>
  </si>
  <si>
    <t>No.164</t>
  </si>
  <si>
    <t>遊戲連線對戰</t>
  </si>
  <si>
    <t>椅子 ×2、遊戲街機 ×2</t>
  </si>
  <si>
    <t>多邊獸Z（★）</t>
  </si>
  <si>
    <t>https://drive.google.com/file/d/1ZDRpuEeP7lAPMilE4N4HGiFL37O5TXPH/view?usp=drive_link</t>
  </si>
  <si>
    <t>No.165</t>
  </si>
  <si>
    <t>遊樂園</t>
  </si>
  <si>
    <t>玩具(任意) ×1</t>
  </si>
  <si>
    <t>藤藤蛇</t>
  </si>
  <si>
    <t>https://drive.google.com/file/d/1wq2nyzMn1XPKWnChrjqhIcmj9-fyTkCL/view?usp=drive_link</t>
  </si>
  <si>
    <t>No.166</t>
  </si>
  <si>
    <t>辦公桌</t>
  </si>
  <si>
    <t>電腦 ×1、馬克杯 ×1、辦公桌/椅 各1</t>
  </si>
  <si>
    <t>多邊獸2（★）</t>
  </si>
  <si>
    <t>https://drive.google.com/file/d/10Bm_ACEtInW9IP7o8oyIymUKFGyvJErD/view?usp=drive_link</t>
  </si>
  <si>
    <t>No.167</t>
  </si>
  <si>
    <t>辦公室倉庫</t>
  </si>
  <si>
    <t>梯子 ×1、紙箱 ×1</t>
  </si>
  <si>
    <t>夢妖、多龍奇、多龍巴魯托</t>
  </si>
  <si>
    <t>https://drive.google.com/file/d/1Xha6osGCVf8EaGciz861bLNQVz_JBaur/view?usp=drive_link</t>
  </si>
  <si>
    <t>No.168</t>
  </si>
  <si>
    <t>實驗空間</t>
  </si>
  <si>
    <t>實驗套組 ×1、顯微鏡 ×1、論文 ×1</t>
  </si>
  <si>
    <t>胡地（★）</t>
  </si>
  <si>
    <t>https://drive.google.com/file/d/1JgesowoNfYdG24T24eV3BPEikl62Lmv-/view?usp=drive_link</t>
  </si>
  <si>
    <t>No.169</t>
  </si>
  <si>
    <t>以博士為目標研究中</t>
  </si>
  <si>
    <t>桌子 ×1</t>
  </si>
  <si>
    <t>金屬怪</t>
  </si>
  <si>
    <t>https://drive.google.com/file/d/1yHc9-xlTIOfHSMXDROugt7TJU8KpGrWP/view?usp=drive_link</t>
  </si>
  <si>
    <t>No.170</t>
  </si>
  <si>
    <t>研究員的桌子</t>
  </si>
  <si>
    <t>多邊獸</t>
  </si>
  <si>
    <t>https://drive.google.com/file/d/1_aviLYaAv9Oda8Z2UljBLwT65tmxxwwO/view?usp=drive_link</t>
  </si>
  <si>
    <t>No.171</t>
  </si>
  <si>
    <t>歡迎閱讀</t>
  </si>
  <si>
    <t>塞滿的書架 ×1、報紙 ×1</t>
  </si>
  <si>
    <t>魔尼尼（★）、君主蛇（★★）</t>
  </si>
  <si>
    <t>https://drive.google.com/file/d/1JOLVqjLO_A8x7Ivs6CUEYcfU9u87kWko/view?usp=drive_link</t>
  </si>
  <si>
    <t>No.172</t>
  </si>
  <si>
    <t>咚咚驚喜箱</t>
  </si>
  <si>
    <t>聚光燈 ×2、大太鼓 ×1、驚喜盒 ×1</t>
  </si>
  <si>
    <t>魔幻假面喵（★）</t>
  </si>
  <si>
    <t>https://drive.google.com/file/d/1JH2PhUzH5IWctP0oisAB74kgXMXYgh6I/view?usp=drive_link</t>
  </si>
  <si>
    <t>No.173</t>
  </si>
  <si>
    <t>惡作劇開關</t>
  </si>
  <si>
    <t>驚喜盒 ×1、平板電腦 ×1</t>
  </si>
  <si>
    <t>呱頭蛙（★）、甲賀忍蛙（★★）</t>
  </si>
  <si>
    <t>https://drive.google.com/file/d/1rIWm_oBVfSXJ1iwCgdibaI53mAakH6_C/view?usp=drive_link</t>
  </si>
  <si>
    <t>No.174</t>
  </si>
  <si>
    <t>絕景拍照版</t>
  </si>
  <si>
    <t>人形立牌 ×1、高處 ×1</t>
  </si>
  <si>
    <t>正電拍拍、負電拍拍</t>
  </si>
  <si>
    <t>https://drive.google.com/file/d/1omno-XGpEIy5QtVDCs4kSVroi737bMUq/view?usp=drive_link</t>
  </si>
  <si>
    <t>No.175</t>
  </si>
  <si>
    <t>輪胎公園</t>
  </si>
  <si>
    <t>跳輪胎 ×2、輪胎 ×1、溜滑梯 ×1</t>
  </si>
  <si>
    <t>咚咚鼠(亮晶晶空島)</t>
  </si>
  <si>
    <t>https://drive.google.com/file/d/1AyGNw_cuLg-pZW7gcEbJE0KRO_5Obtn0/view?usp=drive_link</t>
  </si>
  <si>
    <t>No.176</t>
  </si>
  <si>
    <t>大自然的市場</t>
  </si>
  <si>
    <t>大樹 ×1、大石頭 ×1、桌子 ×2</t>
  </si>
  <si>
    <t>雷丘</t>
  </si>
  <si>
    <t>https://drive.google.com/file/d/10UlQno1GCaEvg_ZIS5rekFZTlVwkWGef/view?usp=drive_link</t>
  </si>
  <si>
    <t>No.177</t>
  </si>
  <si>
    <t>施工地的發電站</t>
  </si>
  <si>
    <t>(施工器材)</t>
  </si>
  <si>
    <t>修建老匠</t>
  </si>
  <si>
    <t>https://drive.google.com/file/d/1fCFBdMuJMNmUUz0rnX91nTKO1TI510fr/view?usp=drive_link</t>
  </si>
  <si>
    <t>No.178</t>
  </si>
  <si>
    <t>在道場訓練</t>
  </si>
  <si>
    <t>怪力岩 ×2、掛軸 ×2</t>
  </si>
  <si>
    <t>蚊香泳士（★）、艾路雷朵（★★）</t>
  </si>
  <si>
    <t>https://drive.google.com/file/d/1KICLfGvqGnaknwbVxvqPOQN7dvZpyd5d/view?usp=drive_link</t>
  </si>
  <si>
    <t>No.179</t>
  </si>
  <si>
    <t>邪惡組織的秘密基地</t>
  </si>
  <si>
    <t>(反派旗幟/電腦)</t>
  </si>
  <si>
    <t>貓老大</t>
  </si>
  <si>
    <t>https://drive.google.com/file/d/1DlOwsJfgsu-2or-pWqGiw-r729YwafaK/view?usp=drive_link</t>
  </si>
  <si>
    <t>No.180</t>
  </si>
  <si>
    <t>九道火焰</t>
  </si>
  <si>
    <t>篝火 ×9</t>
  </si>
  <si>
    <t>九尾（★）</t>
  </si>
  <si>
    <t>https://drive.google.com/file/d/118bHa43lJ-cBj5L1ZU-4F6RfMXNS_15h/view?usp=drive_link</t>
  </si>
  <si>
    <t>No.181</t>
  </si>
  <si>
    <t>被布偶圍滿</t>
  </si>
  <si>
    <t>常用布偶 ×4、飄飄球/隨風球</t>
  </si>
  <si>
    <t>隨風球</t>
  </si>
  <si>
    <t>https://drive.google.com/file/d/1c9mphxUsgeo3l719_cJC-tFwB1faIrvr/view?usp=drive_link</t>
  </si>
  <si>
    <t>No.182</t>
  </si>
  <si>
    <t>絕佳的遊戲環境</t>
  </si>
  <si>
    <t>電競床/椅/冰箱/電腦/桌子 各1</t>
  </si>
  <si>
    <t>巨金怪（★★）</t>
  </si>
  <si>
    <t>https://drive.google.com/file/d/1x_hFtdfV7JlGRvCzLdvV6wISzl6mqJw2/view?usp=drive_link</t>
  </si>
  <si>
    <t>No.183</t>
  </si>
  <si>
    <t>流行潮流</t>
  </si>
  <si>
    <t>流行床/桌/沙發 各1</t>
  </si>
  <si>
    <t>火爆獸（★）</t>
  </si>
  <si>
    <t>https://drive.google.com/file/d/1nJ7HexA9_VdU4Keu2Jns_nQG_SD8eE_i/view?usp=drive_link</t>
  </si>
  <si>
    <t>No.184</t>
  </si>
  <si>
    <t>釣魚池</t>
  </si>
  <si>
    <t>釣竿 ×1、椅子 ×1</t>
  </si>
  <si>
    <t>呆呆王、呆殼獸</t>
  </si>
  <si>
    <t>https://drive.google.com/file/d/1LMf6mJfDZ3LqNqJ80GwKYUIKLw1LlJ9Q/view?usp=drive_link</t>
  </si>
  <si>
    <t>No.185</t>
  </si>
  <si>
    <t>海釣</t>
  </si>
  <si>
    <t>釣竿 ×1、椅子 ×1、海水 ×1</t>
  </si>
  <si>
    <t>鯉魚王、海兔獸</t>
  </si>
  <si>
    <t>https://drive.google.com/file/d/1LGBiyX_7N8MCuuf2Wtj7vZGUjs2tf40k/view?usp=drive_link</t>
  </si>
  <si>
    <t>No.186</t>
  </si>
  <si>
    <t>沼澤釣</t>
  </si>
  <si>
    <t>臭泥、臭臭泥</t>
  </si>
  <si>
    <t>https://drive.google.com/file/d/1oxzoNxCaSjFapLNYvxtQNGMaTyuGEKDf/view?usp=drive_link</t>
  </si>
  <si>
    <t>No.187</t>
  </si>
  <si>
    <t>溫泉釣</t>
  </si>
  <si>
    <t>https://drive.google.com/file/d/1Zbxd8qDnZ7yYNsM6q0mQXXH7aEf12Ezg/view?usp=drive_link</t>
  </si>
  <si>
    <t>No.188</t>
  </si>
  <si>
    <t>熔岩釣</t>
  </si>
  <si>
    <t>椅子 ×1、釣竿 ×1、熔岩 ×1</t>
  </si>
  <si>
    <t>風速狗（★）</t>
  </si>
  <si>
    <t>https://drive.google.com/file/d/15B03Y7ux3Qb_wZNl5NTAXpY6sFtCWEmj/view?usp=drive_link</t>
  </si>
  <si>
    <t>No.189</t>
  </si>
  <si>
    <t>高調的搖滾舞台</t>
  </si>
  <si>
    <t>喇叭/舞台/麥克風 + 電吉他</t>
  </si>
  <si>
    <t>顫弦蠑螈-高調（★）</t>
  </si>
  <si>
    <t>https://drive.google.com/file/d/1nt7FYfOU0phAYFbfZPEP0SxjNEAB3vTF/view?usp=drive_link</t>
  </si>
  <si>
    <t>No.190</t>
  </si>
  <si>
    <t>低調的搖滾舞台</t>
  </si>
  <si>
    <t>喇叭/舞台/麥克風 + 電貝斯</t>
  </si>
  <si>
    <t>顫弦蠑螈-低調（★）</t>
  </si>
  <si>
    <t>https://drive.google.com/file/d/1DAl-idv0ZdLCeM8EYozDED6NUuG_1OS4/view?usp=drive_link</t>
  </si>
  <si>
    <t>No.191</t>
  </si>
  <si>
    <t>怨念騎士的祭壇</t>
  </si>
  <si>
    <t>展示台、咒術之鎧、踏腳石、篝火</t>
  </si>
  <si>
    <t>蒼炎刃鬼</t>
  </si>
  <si>
    <t>https://drive.google.com/file/d/11WCwS4rxIJwX20aZoEsOOleBcCaWu9As/view?usp=drive_link</t>
  </si>
  <si>
    <t>No.192</t>
  </si>
  <si>
    <t>忠誠騎士的祭壇</t>
  </si>
  <si>
    <t>展示台、慶祝之鎧、踏腳石、篝火</t>
  </si>
  <si>
    <t>紅蓮鎧騎</t>
  </si>
  <si>
    <t>https://drive.google.com/file/d/1cRy_6x9tIGbYYYxpXNp8iGTZ0tD-l5sE/view?usp=drive_link</t>
  </si>
  <si>
    <t>No.193</t>
  </si>
  <si>
    <t>飛翼化石展示台</t>
  </si>
  <si>
    <t>台座x1、飛翼化石 (頭/身/尾/左翼/右翼)</t>
  </si>
  <si>
    <t>化石翼龍（★）</t>
  </si>
  <si>
    <t>https://drive.google.com/file/d/1ukcnC5igwgpMhz2n8vIse5pRuxttkUn0/view?usp=drive_link</t>
  </si>
  <si>
    <t>No.194</t>
  </si>
  <si>
    <t>頭蓋化石展示台</t>
  </si>
  <si>
    <t>台座x1、頭蓋化石</t>
  </si>
  <si>
    <t>頭蓋龍（★）</t>
  </si>
  <si>
    <t>https://drive.google.com/file/d/1fo5Bu53B6ApQu61uLRqsWinbGGojqMBo/view?usp=drive_link</t>
  </si>
  <si>
    <t>No.195</t>
  </si>
  <si>
    <t>頭槌化石展示台</t>
  </si>
  <si>
    <t>台座x1、頭槌化石 (頭/身/尾)</t>
  </si>
  <si>
    <t>戰槌龍（★）</t>
  </si>
  <si>
    <t>https://drive.google.com/file/d/1xREAknIwLK0SHveAUCA3taUO6nqcoexn/view?usp=drive_link</t>
  </si>
  <si>
    <t>No.196</t>
  </si>
  <si>
    <t>盾甲化石展示台</t>
  </si>
  <si>
    <t>台座x1、盾甲化石</t>
  </si>
  <si>
    <t>盾甲龍（★）</t>
  </si>
  <si>
    <t>https://drive.google.com/file/d/18uF9Ofg5bLv58OqHcfPRjmGrxqrdGqHn/view?usp=drive_link</t>
  </si>
  <si>
    <t>No.197</t>
  </si>
  <si>
    <t>護盾化石展示台</t>
  </si>
  <si>
    <t>台座x1、護盾化石 (頭/身/尾)</t>
  </si>
  <si>
    <t>護城龍（★）</t>
  </si>
  <si>
    <t>https://drive.google.com/file/d/1HQKiAm7rv9dg1SCZ2GVgBExGS1nR7SBb/view?usp=drive_link</t>
  </si>
  <si>
    <t>No.198</t>
  </si>
  <si>
    <t>顎之化石展示台</t>
  </si>
  <si>
    <t>台座x1、顎之化石</t>
  </si>
  <si>
    <t>寶寶暴龍（★）</t>
  </si>
  <si>
    <t>https://drive.google.com/file/d/1wU-FZjCJoUnTPSbmSSUv3h7TCtN-YCQe/view?usp=drive_link</t>
  </si>
  <si>
    <t>No.199</t>
  </si>
  <si>
    <t>暴君化石展示台</t>
  </si>
  <si>
    <t>台座x2、暴君化石 (頭/身/尾/腳)</t>
  </si>
  <si>
    <t>怪顎龍（★）</t>
  </si>
  <si>
    <t>https://drive.google.com/file/d/1bUPWWlvMMS-uJRJ1Qy1dAc4P76ydg3Qd/view?usp=drive_link</t>
  </si>
  <si>
    <t>No.200</t>
  </si>
  <si>
    <t>鰭之化石展示台</t>
  </si>
  <si>
    <t>台座x1、鰭之化石</t>
  </si>
  <si>
    <t>冰雪龍（★）</t>
  </si>
  <si>
    <t>https://drive.google.com/file/d/1CI8cvizkLPCMAnk7KDMnpk7QxoJEZXWM/view?usp=drive_link</t>
  </si>
  <si>
    <t>No.201</t>
  </si>
  <si>
    <t>凍原化石展示台</t>
  </si>
  <si>
    <t>台座x1、凍原化石 (頭/身/尾)</t>
  </si>
  <si>
    <t>冰雪巨龍（★）</t>
  </si>
  <si>
    <t>https://drive.google.com/file/d/15dMTBCm7gP8tZCRfLbso1S12CmT6OVq_/view?usp=drive_link</t>
  </si>
  <si>
    <t>No.202</t>
  </si>
  <si>
    <t>沁爽清藍</t>
  </si>
  <si>
    <t>椅子 ×1、桌子 ×1、冰淇淋汽水 ×1</t>
  </si>
  <si>
    <t>水伊布（空空鎮)</t>
  </si>
  <si>
    <t>https://drive.google.com/file/d/1E6tjcXSPTvPzIjvSfRyCPXpnyH_mqOQd/view?usp=drive_link</t>
  </si>
  <si>
    <t>No.203</t>
  </si>
  <si>
    <t>麻麻薯餅</t>
  </si>
  <si>
    <t>椅子 ×1、桌子 ×1、炸薯條 ×1</t>
  </si>
  <si>
    <t>雷伊布（空空鎮)</t>
  </si>
  <si>
    <t>https://drive.google.com/file/d/1q4a7uAm-IwBR1YEqABFg0Ker02BtlAgP/view?usp=drive_link</t>
  </si>
  <si>
    <t>No.204</t>
  </si>
  <si>
    <t>辣到噴火</t>
  </si>
  <si>
    <t>椅子 ×1、桌子 ×1、披薩 ×1</t>
  </si>
  <si>
    <t>火伊布（空空鎮)</t>
  </si>
  <si>
    <t>https://drive.google.com/file/d/1qdOFX96jQ8_W6EiLI8yvKs4w9qruji22/view?usp=drive_link</t>
  </si>
  <si>
    <t>No.205</t>
  </si>
  <si>
    <t>優雅的午後</t>
  </si>
  <si>
    <t>椅子 ×1、桌子 ×1、下午茶套餐 ×1</t>
  </si>
  <si>
    <t>太陽伊布（空空鎮)</t>
  </si>
  <si>
    <t>https://drive.google.com/file/d/1Y71bzudHc37b2ZP5IPRnDTzh8-__LsC1/view?usp=drive_link</t>
  </si>
  <si>
    <t>No.206</t>
  </si>
  <si>
    <t>黑色的滋味</t>
  </si>
  <si>
    <t>椅子 ×1、桌子 ×1、巧克力餅乾 ×1</t>
  </si>
  <si>
    <t>月亮伊布（空空鎮)</t>
  </si>
  <si>
    <t>https://drive.google.com/file/d/1wgGhqBQUvLEBAMiFJ2n5hLwnBAAd8Sdw/view?usp=drive_link</t>
  </si>
  <si>
    <t>No.207</t>
  </si>
  <si>
    <t>綠色三明治</t>
  </si>
  <si>
    <t>椅子 ×1、桌子 ×1、三明治 ×1</t>
  </si>
  <si>
    <t>葉伊布（空空鎮)</t>
  </si>
  <si>
    <t>https://drive.google.com/file/d/1cCM0-J-lBIq-QMe6aim4BmIp_qKpYEJA/view?usp=drive_link</t>
  </si>
  <si>
    <t>No.208</t>
  </si>
  <si>
    <t>沁涼刨冰</t>
  </si>
  <si>
    <t>椅子 ×1、桌子 ×1、刨冰 ×1</t>
  </si>
  <si>
    <t>冰伊布（空空鎮)</t>
  </si>
  <si>
    <t>https://drive.google.com/file/d/1IFqhGEAC4eLEZ0j1OafrSVXZ-9UvOYyk/view?usp=drive_link</t>
  </si>
  <si>
    <t>No.209</t>
  </si>
  <si>
    <t>可愛的蛋糕</t>
  </si>
  <si>
    <t>椅子 ×1、桌子 ×1、緞帶蛋糕 ×1</t>
  </si>
  <si>
    <t>仙子伊布（空空鎮)</t>
  </si>
  <si>
    <t>https://drive.google.com/file/d/1JBldlix_mk1LMImWbccPcE9hSpP6eYO4/view?usp=drive_link</t>
  </si>
  <si>
    <t>綠色的地毯</t>
  </si>
  <si>
    <t>悠然的花 ×4</t>
  </si>
  <si>
    <t>毽子草（★）、毽子花（★★）、毽子棉（★★★）</t>
  </si>
  <si>
    <t>https://drive.google.com/file/d/1FBjhrQlbmkUBmYGRgqQPI5dIsAxHWMEU/view?usp=drive_link</t>
  </si>
  <si>
    <t>遠足必備</t>
  </si>
  <si>
    <t>便當 ×1、毽子草水壺 ×1、花朵背包 ×1</t>
  </si>
  <si>
    <t>毽子花（★★）</t>
  </si>
  <si>
    <t>https://drive.google.com/file/d/1SbQTHXJsGaTTo4sCosQcpq3-Km2th5Xz/view?usp=drive_link</t>
  </si>
  <si>
    <t>蒲公英相伴的午餐</t>
  </si>
  <si>
    <t>悠然的花×1、便當×1、花朵餐具套組×1、花朵靠枕×1</t>
  </si>
  <si>
    <t>毽子棉（★★★）</t>
  </si>
  <si>
    <t>https://drive.google.com/file/d/1ivfaiYa-nRxHxzIrRLuZMDhY8--FyEHc/view?usp=drive_link</t>
  </si>
  <si>
    <t>寶可夢名稱</t>
  </si>
  <si>
    <t>喜歡的事物 (標籤)</t>
  </si>
  <si>
    <t>I 欄 (場景1 出現名單)</t>
  </si>
  <si>
    <t>棲息地2 / 道具)</t>
  </si>
  <si>
    <t>K 欄 (場景2 出現名單)</t>
  </si>
  <si>
    <t>M 欄 (場景3 出現名單)</t>
  </si>
  <si>
    <t>第 1 欄</t>
  </si>
  <si>
    <t>第 2 欄</t>
  </si>
  <si>
    <t>第 3 欄</t>
  </si>
  <si>
    <t>第 4 欄</t>
  </si>
  <si>
    <t>第 5 欄</t>
  </si>
  <si>
    <t>第 6 欄</t>
  </si>
  <si>
    <t>第 7 欄</t>
  </si>
  <si>
    <t>第 8 欄</t>
  </si>
  <si>
    <t>第 9 欄</t>
  </si>
  <si>
    <t>第 10 欄</t>
  </si>
  <si>
    <t>第 11 欄</t>
  </si>
  <si>
    <t>第 12 欄</t>
  </si>
  <si>
    <t>第 13 欄</t>
  </si>
  <si>
    <t>001</t>
  </si>
  <si>
    <t>妙蛙種子</t>
  </si>
  <si>
    <t>栽培</t>
  </si>
  <si>
    <t/>
  </si>
  <si>
    <t>明亮</t>
  </si>
  <si>
    <t>感受自然、柔軟、可愛、感受水、大家一起用</t>
  </si>
  <si>
    <t>甜 (桃桃果)</t>
  </si>
  <si>
    <t>002</t>
  </si>
  <si>
    <t>妙蛙草</t>
  </si>
  <si>
    <t>感受自然、柔軟、可愛、花朵盛開、五彩繽紛</t>
  </si>
  <si>
    <t>酸 (番茄)</t>
  </si>
  <si>
    <t>003</t>
  </si>
  <si>
    <t>栽培、亂撒</t>
  </si>
  <si>
    <t xml:space="preserve">葉子 </t>
  </si>
  <si>
    <t>感受自然、柔軟、可愛、花朵盛開、華麗</t>
  </si>
  <si>
    <t>004</t>
  </si>
  <si>
    <t>溫暖</t>
  </si>
  <si>
    <t>感受火焰、木製、堅硬、訓練、大家一起用</t>
  </si>
  <si>
    <t>辣 (紅蘿蔔)</t>
  </si>
  <si>
    <t>005</t>
  </si>
  <si>
    <t>感受火焰、木製、堅硬、訓練、交通工具</t>
  </si>
  <si>
    <t>006</t>
  </si>
  <si>
    <t>點火、飛翔</t>
  </si>
  <si>
    <t>感受火焰、感受風、木製、訓練、華麗</t>
  </si>
  <si>
    <t>007</t>
  </si>
  <si>
    <t>傑尼龜</t>
  </si>
  <si>
    <t>滋潤</t>
  </si>
  <si>
    <t>感受水、整潔、療癒傷口、可愛、大家一起用</t>
  </si>
  <si>
    <t>008</t>
  </si>
  <si>
    <t>卡咪龜</t>
  </si>
  <si>
    <t>感受水、整潔、療癒傷口、訓練、堅硬</t>
  </si>
  <si>
    <t>009</t>
  </si>
  <si>
    <t>滋潤、交易</t>
  </si>
  <si>
    <t>感受水、整潔、療癒傷口、訓練、華麗</t>
  </si>
  <si>
    <t>010</t>
  </si>
  <si>
    <t>波波</t>
  </si>
  <si>
    <t>找東西、飛翔</t>
  </si>
  <si>
    <t>柔軟、感受風、觀賞樂趣、感受自然、遊樂場</t>
  </si>
  <si>
    <t>011</t>
  </si>
  <si>
    <t>比比鳥</t>
  </si>
  <si>
    <t>柔軟、感受風、觀賞樂趣、感受自然、像食物</t>
  </si>
  <si>
    <t>012</t>
  </si>
  <si>
    <t>大比鳥</t>
  </si>
  <si>
    <t>伐木、飛翔</t>
  </si>
  <si>
    <t>柔軟、感受風、木製、感受自然、華麗</t>
  </si>
  <si>
    <t>013</t>
  </si>
  <si>
    <t>走路草</t>
  </si>
  <si>
    <t>感受自然、感受土、柔軟、花朵盛開、感受水</t>
  </si>
  <si>
    <t>苦 (馬鈴薯)</t>
  </si>
  <si>
    <t>014</t>
  </si>
  <si>
    <t>臭臭花</t>
  </si>
  <si>
    <t>感受自然、感受土、柔軟、花朵盛開、垃圾</t>
  </si>
  <si>
    <t>澀 (小麥)</t>
  </si>
  <si>
    <t>015</t>
  </si>
  <si>
    <t>霸王花</t>
  </si>
  <si>
    <t>感受自然、感受土、柔軟、花朵盛開、五彩繽紛</t>
  </si>
  <si>
    <t>016</t>
  </si>
  <si>
    <t>美麗花</t>
  </si>
  <si>
    <t>栽培、帶動氣氛</t>
  </si>
  <si>
    <t>感受自然、花朵盛開、遊樂場、可愛、聲音</t>
  </si>
  <si>
    <t>017</t>
  </si>
  <si>
    <t>派拉斯</t>
  </si>
  <si>
    <t>找東西</t>
  </si>
  <si>
    <t>感受自然、木製、觀賞樂趣、感受土、像食物</t>
  </si>
  <si>
    <t>018</t>
  </si>
  <si>
    <t>派拉斯特</t>
  </si>
  <si>
    <t>感受自然、木製、觀賞樂趣、感受土、不可思議</t>
  </si>
  <si>
    <t>019</t>
  </si>
  <si>
    <t>感受自然、木製、觀賞樂趣、看起來很難、有文字</t>
  </si>
  <si>
    <t>020</t>
  </si>
  <si>
    <t>摩魯蛾</t>
  </si>
  <si>
    <t>感受自然、木製、觀賞樂趣、感受風、花朵盛開</t>
  </si>
  <si>
    <t>021</t>
  </si>
  <si>
    <t>喇叭芽</t>
  </si>
  <si>
    <t xml:space="preserve">藤蔓繩 </t>
  </si>
  <si>
    <t>感受自然、木製、感受土、感受水、花朵盛開</t>
  </si>
  <si>
    <t>022</t>
  </si>
  <si>
    <t>感受自然、木製、感受土、五彩繽紛、花朵盛開</t>
  </si>
  <si>
    <t>023</t>
  </si>
  <si>
    <t>大食花</t>
  </si>
  <si>
    <t>栽培、伐木</t>
  </si>
  <si>
    <t>024</t>
  </si>
  <si>
    <t>呆呆獸</t>
  </si>
  <si>
    <t>滋潤、哈欠</t>
  </si>
  <si>
    <t>感受水、整潔、不可思議、柔軟、療癒傷口</t>
  </si>
  <si>
    <t>025</t>
  </si>
  <si>
    <t>呆殼獸</t>
  </si>
  <si>
    <t>感受水、整潔、不可思議、大家一起用、療癒傷口</t>
  </si>
  <si>
    <t>026</t>
  </si>
  <si>
    <t>呆呆王</t>
  </si>
  <si>
    <t>滋潤、瞬間移動</t>
  </si>
  <si>
    <t>027</t>
  </si>
  <si>
    <t>發電</t>
  </si>
  <si>
    <t>電力驅動、金屬感、閃閃發光、堅硬、大家一起用</t>
  </si>
  <si>
    <t>028</t>
  </si>
  <si>
    <t>三合一磁怪</t>
  </si>
  <si>
    <t>電力驅動、金屬感、閃閃發光、聚集、大家一起用</t>
  </si>
  <si>
    <t>029</t>
  </si>
  <si>
    <t>自爆磁怪</t>
  </si>
  <si>
    <t>回收利用、發電</t>
  </si>
  <si>
    <t>電力驅動、金屬感、華麗、聚集、堅硬</t>
  </si>
  <si>
    <t>030</t>
  </si>
  <si>
    <t>碾壓、重踏</t>
  </si>
  <si>
    <t>乾燥</t>
  </si>
  <si>
    <t>石造、感受土、方形、細長、訓練</t>
  </si>
  <si>
    <t>031</t>
  </si>
  <si>
    <t>金屬感、感受土、石造、細長、堅硬</t>
  </si>
  <si>
    <t>032</t>
  </si>
  <si>
    <t>卡拉卡拉</t>
  </si>
  <si>
    <t>建造</t>
  </si>
  <si>
    <t>感受土、建設、訓練、細長、大家一起用</t>
  </si>
  <si>
    <t>033</t>
  </si>
  <si>
    <t>嘎啦嘎啦</t>
  </si>
  <si>
    <t>感受土、建設、訓練、細長、華麗</t>
  </si>
  <si>
    <t>034</t>
  </si>
  <si>
    <t>交易</t>
  </si>
  <si>
    <t>訓練、大家一起用、布製、石造、圓形</t>
  </si>
  <si>
    <t>035</t>
  </si>
  <si>
    <t>036</t>
  </si>
  <si>
    <t>037</t>
  </si>
  <si>
    <t>038</t>
  </si>
  <si>
    <t>瓦斯彈</t>
  </si>
  <si>
    <t>回收利用</t>
  </si>
  <si>
    <t>昏暗</t>
  </si>
  <si>
    <t>垃圾、聚集、看起來很難、柔軟、搖晃</t>
  </si>
  <si>
    <t>039</t>
  </si>
  <si>
    <t>雙彈瓦斯</t>
  </si>
  <si>
    <t>040</t>
  </si>
  <si>
    <t>蔓藤怪</t>
  </si>
  <si>
    <t>感受自然、感受水、聚集、花朵盛開、細長</t>
  </si>
  <si>
    <t>041</t>
  </si>
  <si>
    <t>巨蔓藤</t>
  </si>
  <si>
    <t>感受自然、感受水、聚集、花朵盛開、觀賞樂趣</t>
  </si>
  <si>
    <t>巨蔓藤博士</t>
  </si>
  <si>
    <t>鑑定</t>
  </si>
  <si>
    <t>感受自然、看起來很難、有文字、不可思議、大家一起用</t>
  </si>
  <si>
    <t>042</t>
  </si>
  <si>
    <t>飛天螳螂</t>
  </si>
  <si>
    <t>伐木</t>
  </si>
  <si>
    <t>感受自然、木製、訓練、感受風、尖銳</t>
  </si>
  <si>
    <t>043</t>
  </si>
  <si>
    <t>巨鉗螳螂</t>
  </si>
  <si>
    <t>感受自然、金屬感、木製、堅硬、訓練</t>
  </si>
  <si>
    <t>044</t>
  </si>
  <si>
    <t>凱羅斯</t>
  </si>
  <si>
    <t>伐木、建造</t>
  </si>
  <si>
    <t>感受自然、木製、花朵盛開、尖銳、訓練</t>
  </si>
  <si>
    <t>045</t>
  </si>
  <si>
    <t>鯉魚王</t>
  </si>
  <si>
    <t>不明</t>
  </si>
  <si>
    <t>感受水、感受海、大家一起用、交通工具、搖晃</t>
  </si>
  <si>
    <t>046</t>
  </si>
  <si>
    <t>暴鯉龍</t>
  </si>
  <si>
    <t>感受水、感受海、感受風、整潔、細長</t>
  </si>
  <si>
    <t>047</t>
  </si>
  <si>
    <t>百變怪</t>
  </si>
  <si>
    <t>變身</t>
  </si>
  <si>
    <t>-</t>
  </si>
  <si>
    <t>048</t>
  </si>
  <si>
    <t>咕咕</t>
  </si>
  <si>
    <t>飛翔、交易</t>
  </si>
  <si>
    <t>柔軟、感受風、布製、搖晃、觀賞樂趣</t>
  </si>
  <si>
    <t>049</t>
  </si>
  <si>
    <t>貓頭夜鷹</t>
  </si>
  <si>
    <t>柔軟、感受風、有文字、容器、觀賞樂趣</t>
  </si>
  <si>
    <t>050</t>
  </si>
  <si>
    <t>赫拉克羅斯</t>
  </si>
  <si>
    <t>感受自然、木製、花朵盛開、像食物、訓練</t>
  </si>
  <si>
    <t>051</t>
  </si>
  <si>
    <t>電螢蟲</t>
  </si>
  <si>
    <t>帶動氣氛</t>
  </si>
  <si>
    <t>感受自然、木製、閃閃發光、可愛、大家一起用</t>
  </si>
  <si>
    <t>052</t>
  </si>
  <si>
    <t>甜甜螢</t>
  </si>
  <si>
    <t>053</t>
  </si>
  <si>
    <t>收納</t>
  </si>
  <si>
    <t>可愛、像食物、圓形、容器、五彩繽紛</t>
  </si>
  <si>
    <t>054</t>
  </si>
  <si>
    <t>吞食獸</t>
  </si>
  <si>
    <t>垃圾、像食物、圓形、容器、五彩繽紛</t>
  </si>
  <si>
    <t>055</t>
  </si>
  <si>
    <t>感受自然、花朵盛開、可愛、圓形、尖銳</t>
  </si>
  <si>
    <t>056</t>
  </si>
  <si>
    <t>夢歌仙人掌</t>
  </si>
  <si>
    <t xml:space="preserve">結實的樹枝 </t>
  </si>
  <si>
    <t>感受自然、感受風、華麗、閃閃發光、尖銳</t>
  </si>
  <si>
    <t>057</t>
  </si>
  <si>
    <t>三蜜蜂</t>
  </si>
  <si>
    <t>亂撒</t>
  </si>
  <si>
    <t xml:space="preserve">甜甜蜜 </t>
  </si>
  <si>
    <t>感受自然、感受風、木製、聚集、大家一起用</t>
  </si>
  <si>
    <t>058</t>
  </si>
  <si>
    <t>蜂女王</t>
  </si>
  <si>
    <t>找東西、採蜜</t>
  </si>
  <si>
    <t>感受自然、感受風、木製、聚集、看起來很難</t>
  </si>
  <si>
    <t>059</t>
  </si>
  <si>
    <t>感受水、感受海、整潔、五彩繽紛、容器</t>
  </si>
  <si>
    <t>酸/澀</t>
  </si>
  <si>
    <t>060</t>
  </si>
  <si>
    <t>海兔獸</t>
  </si>
  <si>
    <t>感受水、感受土、感受海、整潔、容器</t>
  </si>
  <si>
    <t>061</t>
  </si>
  <si>
    <t>夢島</t>
  </si>
  <si>
    <t>詭異、不可思議、感受風、可愛、圓形</t>
  </si>
  <si>
    <t>062</t>
  </si>
  <si>
    <t>飛翔、分類</t>
  </si>
  <si>
    <t>詭異、不可思議、感受風、搖晃、旋轉</t>
  </si>
  <si>
    <t>063</t>
  </si>
  <si>
    <t>螺釘地鼠</t>
  </si>
  <si>
    <t>感受土、石造、感受自然、觀賞樂趣、尖銳</t>
  </si>
  <si>
    <t>064</t>
  </si>
  <si>
    <t>龍頭地鼠</t>
  </si>
  <si>
    <t>伐木、找東西</t>
  </si>
  <si>
    <t>感受土、金屬感、訓練、觀賞樂趣、尖銳</t>
  </si>
  <si>
    <t>065</t>
  </si>
  <si>
    <t>搬運小匠</t>
  </si>
  <si>
    <t>訓練、建設、木製、細長、方形</t>
  </si>
  <si>
    <t>066</t>
  </si>
  <si>
    <t>鐵骨土人</t>
  </si>
  <si>
    <t>訓練、建設、金屬感、細長、大家一起用</t>
  </si>
  <si>
    <t>067</t>
  </si>
  <si>
    <t>建造、碾壓</t>
  </si>
  <si>
    <t>訓練、建設、石造、細長、大家一起用</t>
  </si>
  <si>
    <t>068</t>
  </si>
  <si>
    <t>詭異、不可思議、感受火焰、搖晃、方形</t>
  </si>
  <si>
    <t>069</t>
  </si>
  <si>
    <t>燈火幽靈</t>
  </si>
  <si>
    <t>詭異、不可思議、感受火焰、搖晃、容器</t>
  </si>
  <si>
    <t>070</t>
  </si>
  <si>
    <t>水晶燈火靈</t>
  </si>
  <si>
    <t>詭異、不可思議、感受火焰、搖晃、觀賞樂趣</t>
  </si>
  <si>
    <t>071</t>
  </si>
  <si>
    <t>牙牙</t>
  </si>
  <si>
    <t>感受火焰、華麗、感受土、堅硬、尖銳</t>
  </si>
  <si>
    <t>072</t>
  </si>
  <si>
    <t>斧牙龍</t>
  </si>
  <si>
    <t>感受火焰、華麗、感受土、訓練、尖銳</t>
  </si>
  <si>
    <t>073</t>
  </si>
  <si>
    <t>雙斧戰龍</t>
  </si>
  <si>
    <t>伐木、亂撒</t>
  </si>
  <si>
    <t xml:space="preserve">小圓木 </t>
  </si>
  <si>
    <t>074</t>
  </si>
  <si>
    <t>感受水、華麗、感受自然、整潔、療癒傷口</t>
  </si>
  <si>
    <t>075</t>
  </si>
  <si>
    <t>黏美兒</t>
  </si>
  <si>
    <t>感受水、華麗、柔軟、整潔、療癒傷口</t>
  </si>
  <si>
    <t>076</t>
  </si>
  <si>
    <t>黏美龍</t>
  </si>
  <si>
    <t>感受水、華麗、訓練、整潔、療癒傷口</t>
  </si>
  <si>
    <t>077</t>
  </si>
  <si>
    <t>古月鳥</t>
  </si>
  <si>
    <t>滋潤、飛翔</t>
  </si>
  <si>
    <t>感受風、感受水、感受海、細長、像食物</t>
  </si>
  <si>
    <t>078</t>
  </si>
  <si>
    <t>皮丘</t>
  </si>
  <si>
    <t>電力驅動、玻璃、可愛、花朵盛開、布製</t>
  </si>
  <si>
    <t>079</t>
  </si>
  <si>
    <t>淺淺丘</t>
  </si>
  <si>
    <t>發光</t>
  </si>
  <si>
    <t>電力驅動、玻璃、可愛、療癒傷口、有文字</t>
  </si>
  <si>
    <t>皮卡丘</t>
  </si>
  <si>
    <t>電力驅動、玻璃、大家一起用、圓形、交通工具</t>
  </si>
  <si>
    <t>080</t>
  </si>
  <si>
    <t>發電、帶動氣氛</t>
  </si>
  <si>
    <t>電力驅動、玻璃、大家一起用、圓形、遊樂場</t>
  </si>
  <si>
    <t>(未提供)</t>
  </si>
  <si>
    <t>081</t>
  </si>
  <si>
    <t>超音蝠</t>
  </si>
  <si>
    <t>詭異、感受風、木製、聲音、看起來很難</t>
  </si>
  <si>
    <t>082</t>
  </si>
  <si>
    <t>大嘴蝠</t>
  </si>
  <si>
    <t>083</t>
  </si>
  <si>
    <t>詭異、感受風、木製、垃圾、觀賞樂趣</t>
  </si>
  <si>
    <t>084</t>
  </si>
  <si>
    <t>涼爽</t>
  </si>
  <si>
    <t>容器、大家一起用、閃閃發光、玻璃、華麗</t>
  </si>
  <si>
    <t>085</t>
  </si>
  <si>
    <t>找東西、交易</t>
  </si>
  <si>
    <t>容器、大家一起用、閃閃發光、觀賞樂趣、華麗</t>
  </si>
  <si>
    <t>086</t>
  </si>
  <si>
    <t>可達鴨</t>
  </si>
  <si>
    <t>感受水、感受海、不可思議、看起來很難、療癒傷口</t>
  </si>
  <si>
    <t>087</t>
  </si>
  <si>
    <t>哥達鴨</t>
  </si>
  <si>
    <t>感受水、感受海、不可思議、看起來很難、尖銳</t>
  </si>
  <si>
    <t>088</t>
  </si>
  <si>
    <t>點火、找東西</t>
  </si>
  <si>
    <t>感受火焰、石造、感受風、有文字、花朵盛開</t>
  </si>
  <si>
    <t>089</t>
  </si>
  <si>
    <t>風速狗</t>
  </si>
  <si>
    <t>感受火焰、石造、感受風、觀賞樂趣、象徵</t>
  </si>
  <si>
    <t>090</t>
  </si>
  <si>
    <t>大蔥鴨</t>
  </si>
  <si>
    <t>柔軟、感受風、木製、細長、訓練</t>
  </si>
  <si>
    <t>091</t>
  </si>
  <si>
    <t>臭泥</t>
  </si>
  <si>
    <t xml:space="preserve">不可燃垃圾 </t>
  </si>
  <si>
    <t>垃圾、詭異、聚集、閃閃發光、容器</t>
  </si>
  <si>
    <t>092</t>
  </si>
  <si>
    <t>臭臭泥</t>
  </si>
  <si>
    <t>垃圾、詭異、聚集、閃閃發光、五彩繽紛</t>
  </si>
  <si>
    <t>093</t>
  </si>
  <si>
    <t>鬼斯</t>
  </si>
  <si>
    <t>分類、交易</t>
  </si>
  <si>
    <t>詭異、不可思議、垃圾、容器、大家一起用</t>
  </si>
  <si>
    <t>094</t>
  </si>
  <si>
    <t>鬼斯通</t>
  </si>
  <si>
    <t>詭異、不可思議、垃圾、搖晃、大家一起用</t>
  </si>
  <si>
    <t>095</t>
  </si>
  <si>
    <t>耿鬼</t>
  </si>
  <si>
    <t>詭異、不可思議、垃圾、交通工具、大家一起用</t>
  </si>
  <si>
    <t>096</t>
  </si>
  <si>
    <t>發電、爆炸</t>
  </si>
  <si>
    <t>電力驅動、閃閃發光、圓形、五彩繽紛、旋轉</t>
  </si>
  <si>
    <t>097</t>
  </si>
  <si>
    <t>頑皮雷彈</t>
  </si>
  <si>
    <t>電力驅動、閃閃發光、圓形、遊樂場、旋轉</t>
  </si>
  <si>
    <t>098</t>
  </si>
  <si>
    <t>栽培、瞬間移動</t>
  </si>
  <si>
    <t>感受自然、不可思議、聚集、觀賞樂趣、大家一起用</t>
  </si>
  <si>
    <t>099</t>
  </si>
  <si>
    <t>椰蛋樹</t>
  </si>
  <si>
    <t>感受自然、不可思議、聚集、觀賞樂趣、木製</t>
  </si>
  <si>
    <t>100</t>
  </si>
  <si>
    <t>柔軟、布製、療癒傷口、圓形、容器</t>
  </si>
  <si>
    <t>101</t>
  </si>
  <si>
    <t>吉利蛋</t>
  </si>
  <si>
    <t>柔軟、布製、療癒傷口、圓形、大家一起用</t>
  </si>
  <si>
    <t>102</t>
  </si>
  <si>
    <t>幸福蛋</t>
  </si>
  <si>
    <t>亂撒、交易</t>
  </si>
  <si>
    <t xml:space="preserve">石頭 </t>
  </si>
  <si>
    <t>103</t>
  </si>
  <si>
    <t>電力驅動、玻璃、可愛、圓形、旋轉</t>
  </si>
  <si>
    <t>104</t>
  </si>
  <si>
    <t>電擊獸</t>
  </si>
  <si>
    <t>電力驅動、玻璃、感受火焰、尖銳、訓練</t>
  </si>
  <si>
    <t>105</t>
  </si>
  <si>
    <t>電擊魔獸</t>
  </si>
  <si>
    <t>發電、碾壓</t>
  </si>
  <si>
    <t>電力驅動、玻璃、感受火焰、堅硬、訓練</t>
  </si>
  <si>
    <t>106</t>
  </si>
  <si>
    <t>感受水、感受海、整潔、觀賞樂趣、療癒傷口</t>
  </si>
  <si>
    <t>107</t>
  </si>
  <si>
    <t>小卡比獸</t>
  </si>
  <si>
    <t>重踏</t>
  </si>
  <si>
    <t>柔軟、感受自然、像食物、搖晃、大家一起用</t>
  </si>
  <si>
    <t>108</t>
  </si>
  <si>
    <t>卡比獸</t>
  </si>
  <si>
    <t>重踏、交易</t>
  </si>
  <si>
    <t>柔軟、布製、像食物、搖晃、交通工具</t>
  </si>
  <si>
    <t>貪吃鬼</t>
  </si>
  <si>
    <t>柔軟、布製、像食物、觀賞樂趣、不可思議</t>
  </si>
  <si>
    <t>109</t>
  </si>
  <si>
    <t>圓絲蛛</t>
  </si>
  <si>
    <t xml:space="preserve">線屑 </t>
  </si>
  <si>
    <t>感受自然、木製、垃圾、交通工具、五彩繽紛</t>
  </si>
  <si>
    <t>110</t>
  </si>
  <si>
    <t>阿利多斯</t>
  </si>
  <si>
    <t>111</t>
  </si>
  <si>
    <t>發電、亂撒</t>
  </si>
  <si>
    <t xml:space="preserve">棉花 </t>
  </si>
  <si>
    <t>電力驅動、閃閃發光、玻璃、可愛、布製</t>
  </si>
  <si>
    <t>112</t>
  </si>
  <si>
    <t>電力驅動、閃閃發光、玻璃、可愛、交通工具</t>
  </si>
  <si>
    <t>113</t>
  </si>
  <si>
    <t>電龍</t>
  </si>
  <si>
    <t>發電、交易</t>
  </si>
  <si>
    <t>電力驅動、閃閃發光、玻璃、可愛、花朵盛開</t>
  </si>
  <si>
    <t>114</t>
  </si>
  <si>
    <t>露力麗</t>
  </si>
  <si>
    <t>滋潤、帶動氣氛</t>
  </si>
  <si>
    <t>可愛、整潔、療癒傷口、交通工具</t>
  </si>
  <si>
    <t>115</t>
  </si>
  <si>
    <t>瑪力露</t>
  </si>
  <si>
    <t>可愛、整潔、圓形、象徵</t>
  </si>
  <si>
    <t>116</t>
  </si>
  <si>
    <t>瑪力露麗</t>
  </si>
  <si>
    <t>滋潤、建造</t>
  </si>
  <si>
    <t>可愛、建設、搖晃、象徵</t>
  </si>
  <si>
    <t>117</t>
  </si>
  <si>
    <t>帕底亞烏波</t>
  </si>
  <si>
    <t xml:space="preserve">軟趴趴黏土 </t>
  </si>
  <si>
    <t>垃圾、感受土、石造、整潔、大家一起用</t>
  </si>
  <si>
    <t>118</t>
  </si>
  <si>
    <t>土王</t>
  </si>
  <si>
    <t>重踏、亂撒</t>
  </si>
  <si>
    <t>垃圾、感受土、感受水、整潔、圓形</t>
  </si>
  <si>
    <t>119</t>
  </si>
  <si>
    <t>圖圖犬(彩繪)</t>
  </si>
  <si>
    <t>彩繪</t>
  </si>
  <si>
    <t>柔軟、布製、不可思議、五彩繽紛、閃閃發光</t>
  </si>
  <si>
    <t>120</t>
  </si>
  <si>
    <t>火雉雞</t>
  </si>
  <si>
    <t>感受火焰、石造、可愛、容器、花朵盛開</t>
  </si>
  <si>
    <t>121</t>
  </si>
  <si>
    <t>力壯雞</t>
  </si>
  <si>
    <t>點火、建造</t>
  </si>
  <si>
    <t>感受火焰、石造、訓練、容器、建設</t>
  </si>
  <si>
    <t>122</t>
  </si>
  <si>
    <t>火焰雞</t>
  </si>
  <si>
    <t>感受火焰、華麗、訓練、容器、建設</t>
  </si>
  <si>
    <t>123</t>
  </si>
  <si>
    <t>長翅鷗</t>
  </si>
  <si>
    <t>感受水、感受風、整潔、感受海、觀賞樂趣</t>
  </si>
  <si>
    <t>124</t>
  </si>
  <si>
    <t>大嘴鷗</t>
  </si>
  <si>
    <t>125</t>
  </si>
  <si>
    <t>幕下力士</t>
  </si>
  <si>
    <t>建造、重踏</t>
  </si>
  <si>
    <t>訓練、建設、布製、圓形、木製</t>
  </si>
  <si>
    <t>126</t>
  </si>
  <si>
    <t>鐵掌力士</t>
  </si>
  <si>
    <t>訓練、建設、布製、圓形、交通工具</t>
  </si>
  <si>
    <t>127</t>
  </si>
  <si>
    <t>柔軟、感受風、有文字、看起來很難、訓練</t>
  </si>
  <si>
    <t>128</t>
  </si>
  <si>
    <t>波加曼</t>
  </si>
  <si>
    <t>感受水、感受海、感受風、整潔、容器</t>
  </si>
  <si>
    <t>129</t>
  </si>
  <si>
    <t>130</t>
  </si>
  <si>
    <t>帝王拿波</t>
  </si>
  <si>
    <t>感受水、感受海、金屬感、整潔、有文字</t>
  </si>
  <si>
    <t>131</t>
  </si>
  <si>
    <t>差不多娃娃</t>
  </si>
  <si>
    <t>柔軟、布製、療癒傷口、可愛、圓形</t>
  </si>
  <si>
    <t>132</t>
  </si>
  <si>
    <t>破破袋</t>
  </si>
  <si>
    <t>垃圾、容器、看起來很難、閃閃發光、聚集</t>
  </si>
  <si>
    <t>133</t>
  </si>
  <si>
    <t>灰塵山</t>
  </si>
  <si>
    <t>回收利用、亂撒</t>
  </si>
  <si>
    <t>134</t>
  </si>
  <si>
    <t>索羅亞</t>
  </si>
  <si>
    <t>閃閃發光、華麗、玻璃、可愛、大家一起用</t>
  </si>
  <si>
    <t>135</t>
  </si>
  <si>
    <t>索羅亞克</t>
  </si>
  <si>
    <t>伐木、交易</t>
  </si>
  <si>
    <t>閃閃發光、華麗、玻璃、不可思議、大家一起用</t>
  </si>
  <si>
    <t>136</t>
  </si>
  <si>
    <t>分類</t>
  </si>
  <si>
    <t>柔軟、布製、交通工具、可愛、整潔</t>
  </si>
  <si>
    <t>137</t>
  </si>
  <si>
    <t>奇諾栗鼠</t>
  </si>
  <si>
    <t>回收、分類</t>
  </si>
  <si>
    <t>138</t>
  </si>
  <si>
    <t>強顎雞母蟲</t>
  </si>
  <si>
    <t>感受自然、電力驅動、觀賞樂趣、感受土、容器</t>
  </si>
  <si>
    <t>139</t>
  </si>
  <si>
    <t>蟲電寶</t>
  </si>
  <si>
    <t>伐木、發電</t>
  </si>
  <si>
    <t>感受自然、電力驅動、觀賞樂趣、玻璃、方形</t>
  </si>
  <si>
    <t>140</t>
  </si>
  <si>
    <t>鍬農炮蟲</t>
  </si>
  <si>
    <t>感受自然、電力驅動、訓練、玻璃、感受風</t>
  </si>
  <si>
    <t>141</t>
  </si>
  <si>
    <t>詭異、可愛、電力驅動、布製、大家一起用</t>
  </si>
  <si>
    <t>142</t>
  </si>
  <si>
    <t>布撥</t>
  </si>
  <si>
    <t>電力驅動、閃閃發光、可愛、玻璃、大家一起用</t>
  </si>
  <si>
    <t>143</t>
  </si>
  <si>
    <t>布土撥</t>
  </si>
  <si>
    <t>電力驅動、閃閃發光、訓練、玻璃、大家一起用</t>
  </si>
  <si>
    <t>144</t>
  </si>
  <si>
    <t>巴布土撥</t>
  </si>
  <si>
    <t>容器、閃閃發光、訓練、療癒傷口、大家一起用</t>
  </si>
  <si>
    <t>145</t>
  </si>
  <si>
    <t>感受水、海、大家用、有文字、容器/方形/細長</t>
  </si>
  <si>
    <t>辣/甜/酸</t>
  </si>
  <si>
    <t>146</t>
  </si>
  <si>
    <t>阿柏蛇</t>
  </si>
  <si>
    <t>垃圾、觀賞樂趣、感受自然、細長、旋轉</t>
  </si>
  <si>
    <t>147</t>
  </si>
  <si>
    <t>阿柏怪</t>
  </si>
  <si>
    <t>148</t>
  </si>
  <si>
    <t>皮寶寶</t>
  </si>
  <si>
    <t>可愛、圓形、五彩繽紛、療癒傷口、交通工具</t>
  </si>
  <si>
    <t>149</t>
  </si>
  <si>
    <t>皮皮</t>
  </si>
  <si>
    <t>可愛、遊樂場、花朵盛開、療癒、大家一起用</t>
  </si>
  <si>
    <t>150</t>
  </si>
  <si>
    <t>皮可西</t>
  </si>
  <si>
    <t>交易、帶動氣氛</t>
  </si>
  <si>
    <t>151</t>
  </si>
  <si>
    <t>寶寶丁</t>
  </si>
  <si>
    <t>柔軟、可愛、遊樂場、療癒傷口、聲音</t>
  </si>
  <si>
    <t>152</t>
  </si>
  <si>
    <t>胖丁</t>
  </si>
  <si>
    <t>柔軟、可愛、遊樂場、療癒傷口、搖晃</t>
  </si>
  <si>
    <t>153</t>
  </si>
  <si>
    <t>胖可丁</t>
  </si>
  <si>
    <t>柔軟、可愛、遊樂場、療癒傷口、大家一起用</t>
  </si>
  <si>
    <t>154</t>
  </si>
  <si>
    <t>地鼠</t>
  </si>
  <si>
    <t>感受土、遊樂場、可愛、大家一起用、細長</t>
  </si>
  <si>
    <t>155</t>
  </si>
  <si>
    <t>三地鼠</t>
  </si>
  <si>
    <t>碾壓、帶動氣氛</t>
  </si>
  <si>
    <t>感受土、遊樂場、聚集、大家一起用、細長</t>
  </si>
  <si>
    <t>156</t>
  </si>
  <si>
    <t>腕力</t>
  </si>
  <si>
    <t>建造、分類</t>
  </si>
  <si>
    <t>訓練、整潔、石造、堅硬、大家一起用</t>
  </si>
  <si>
    <t>157</t>
  </si>
  <si>
    <t>豪力</t>
  </si>
  <si>
    <t>訓練、建設、石造、堅硬、大家一起用</t>
  </si>
  <si>
    <t>158</t>
  </si>
  <si>
    <t>怪力</t>
  </si>
  <si>
    <t>159</t>
  </si>
  <si>
    <t>小拳石</t>
  </si>
  <si>
    <t>碾壓</t>
  </si>
  <si>
    <t>石造、堅硬、旋轉、圓形、訓練</t>
  </si>
  <si>
    <t>160</t>
  </si>
  <si>
    <t>隆隆石</t>
  </si>
  <si>
    <t>161</t>
  </si>
  <si>
    <t>隆隆岩</t>
  </si>
  <si>
    <t>碾壓、交易</t>
  </si>
  <si>
    <t>162</t>
  </si>
  <si>
    <t>鴨嘴寶寶</t>
  </si>
  <si>
    <t>感受火焰、石造、觀賞樂趣、可愛、搖晃</t>
  </si>
  <si>
    <t>163</t>
  </si>
  <si>
    <t>感受火焰、石造、電力驅動、堅硬、訓練</t>
  </si>
  <si>
    <t>164</t>
  </si>
  <si>
    <t>點火、碾壓</t>
  </si>
  <si>
    <t>165</t>
  </si>
  <si>
    <t>盆才怪</t>
  </si>
  <si>
    <t>石造、堅硬、感受自然、木製、圓形</t>
  </si>
  <si>
    <t>166</t>
  </si>
  <si>
    <t>石造、堅硬、感受自然、木製、觀賞樂趣</t>
  </si>
  <si>
    <t>167</t>
  </si>
  <si>
    <t>黑暗鴉</t>
  </si>
  <si>
    <t>閃閃發光、感受風、大家一起用、華麗、布製</t>
  </si>
  <si>
    <t>168</t>
  </si>
  <si>
    <t>烏鴉頭頭</t>
  </si>
  <si>
    <t>閃閃發光、感受風、詭異、有文字、玻璃</t>
  </si>
  <si>
    <t>169</t>
  </si>
  <si>
    <t>幼基拉斯</t>
  </si>
  <si>
    <t>重踏、碾壓</t>
  </si>
  <si>
    <t>石造、感受土、華麗、閃閃發光、像食物</t>
  </si>
  <si>
    <t>170</t>
  </si>
  <si>
    <t>沙基拉斯</t>
  </si>
  <si>
    <t>石造、堅硬、華麗、閃閃發光、觀賞樂趣</t>
  </si>
  <si>
    <t>171</t>
  </si>
  <si>
    <t>石造、堅硬、華麗、閃閃發光、訓練</t>
  </si>
  <si>
    <t>172</t>
  </si>
  <si>
    <t>蓮葉童子</t>
  </si>
  <si>
    <t>感受水、感受自然、整潔、容器、聲音</t>
  </si>
  <si>
    <t>173</t>
  </si>
  <si>
    <t>蓮帽小童</t>
  </si>
  <si>
    <t>174</t>
  </si>
  <si>
    <t>樂天河童</t>
  </si>
  <si>
    <t>感受水、感受自然、遊樂場、容器、聲音</t>
  </si>
  <si>
    <t>175</t>
  </si>
  <si>
    <t>大嘴娃</t>
  </si>
  <si>
    <t>建造、交易</t>
  </si>
  <si>
    <t>金屬感、可愛、五彩繽紛、像食物、大家用</t>
  </si>
  <si>
    <t>176</t>
  </si>
  <si>
    <t>感受火焰、石造、金屬感、堅硬、觀賞樂趣</t>
  </si>
  <si>
    <t>177</t>
  </si>
  <si>
    <t>圓法師</t>
  </si>
  <si>
    <t>感受自然、木製、聲音、五彩繽紛、觀賞樂趣</t>
  </si>
  <si>
    <t>178</t>
  </si>
  <si>
    <t>音箱蟀</t>
  </si>
  <si>
    <t>179</t>
  </si>
  <si>
    <t>聒噪鳥</t>
  </si>
  <si>
    <t>飛翔、帶動氣氛</t>
  </si>
  <si>
    <t>感受風、布製、細長、遊樂場、聲音</t>
  </si>
  <si>
    <t>180</t>
  </si>
  <si>
    <t>利歐路</t>
  </si>
  <si>
    <t>訓練、布製、建設、聚集、觀賞樂趣</t>
  </si>
  <si>
    <t>181</t>
  </si>
  <si>
    <t>路卡利歐</t>
  </si>
  <si>
    <t>訓練、金屬感、建設、看起來很難、療癒</t>
  </si>
  <si>
    <t>182</t>
  </si>
  <si>
    <t>音響洛托姆</t>
  </si>
  <si>
    <t>DJ</t>
  </si>
  <si>
    <t>閃閃發光、玻璃、聲音、大家一起用、方形</t>
  </si>
  <si>
    <t>183</t>
  </si>
  <si>
    <t>燃燒蟲</t>
  </si>
  <si>
    <t>點火、亂撒</t>
  </si>
  <si>
    <t>感受自然、感受火焰、尖銳、木製、象徵</t>
  </si>
  <si>
    <t>184</t>
  </si>
  <si>
    <t>火神蛾</t>
  </si>
  <si>
    <t>感受自然、感受火焰、有文字、木製、象徵</t>
  </si>
  <si>
    <t>185</t>
  </si>
  <si>
    <t>木木梟</t>
  </si>
  <si>
    <t>感受自然、木製、感受風、容器、旋轉</t>
  </si>
  <si>
    <t>186</t>
  </si>
  <si>
    <t>投羽梟</t>
  </si>
  <si>
    <t>感受自然、木製、感受風、細長、整潔</t>
  </si>
  <si>
    <t>187</t>
  </si>
  <si>
    <t>狙射樹梟</t>
  </si>
  <si>
    <t>感受自然、詭異、木製、感受風、有文字</t>
  </si>
  <si>
    <t>188</t>
  </si>
  <si>
    <t>炎兔兒</t>
  </si>
  <si>
    <t>感受火焰、石造、柔軟、大家一起用、尖銳</t>
  </si>
  <si>
    <t>189</t>
  </si>
  <si>
    <t>感受火焰、石造、遊樂場、大家用、容器</t>
  </si>
  <si>
    <t>190</t>
  </si>
  <si>
    <t>閃焰王牌</t>
  </si>
  <si>
    <t>點火、帶動氣氛</t>
  </si>
  <si>
    <t>感受火焰、石造、遊樂場、大家用、圓形</t>
  </si>
  <si>
    <t>191</t>
  </si>
  <si>
    <t>貪心栗鼠</t>
  </si>
  <si>
    <t>找東西、帶氣氛</t>
  </si>
  <si>
    <t>柔軟、木製、觀賞樂趣、像食物、圓形</t>
  </si>
  <si>
    <t>192</t>
  </si>
  <si>
    <t>？？？</t>
  </si>
  <si>
    <t>柔軟、金屬感、大家一起用、像食物、華麗</t>
  </si>
  <si>
    <t>193</t>
  </si>
  <si>
    <t>小炭仔</t>
  </si>
  <si>
    <t>點火、分類</t>
  </si>
  <si>
    <t>石造、感受火焰、堅硬、金屬感、交通工具</t>
  </si>
  <si>
    <t>194</t>
  </si>
  <si>
    <t>大炭車</t>
  </si>
  <si>
    <t>195</t>
  </si>
  <si>
    <t>巨炭山</t>
  </si>
  <si>
    <t>196</t>
  </si>
  <si>
    <t>毒電嬰</t>
  </si>
  <si>
    <t>電力驅動、閃閃發光、聲音、玻璃、垃圾</t>
  </si>
  <si>
    <t>197</t>
  </si>
  <si>
    <t>顫弦蠑螈</t>
  </si>
  <si>
    <t>發電、帶氣氛</t>
  </si>
  <si>
    <t>電力驅動、遊樂場、聲音、細長、尖銳</t>
  </si>
  <si>
    <t>辣/苦</t>
  </si>
  <si>
    <t>198</t>
  </si>
  <si>
    <t>狗仔包</t>
  </si>
  <si>
    <t>可愛、觀賞樂趣、柔軟、感受火焰、有文字</t>
  </si>
  <si>
    <t>199</t>
  </si>
  <si>
    <t>麻花犬</t>
  </si>
  <si>
    <t>可愛、觀賞樂趣、大家用、感受火焰、食物</t>
  </si>
  <si>
    <t>200</t>
  </si>
  <si>
    <t>炭小侍</t>
  </si>
  <si>
    <t>感受火焰、石造、不可思議、訓練、華麗</t>
  </si>
  <si>
    <t>201</t>
  </si>
  <si>
    <t>點火、交易</t>
  </si>
  <si>
    <t>202</t>
  </si>
  <si>
    <t>感受火焰、石造、詭異、不可思議、華麗</t>
  </si>
  <si>
    <t>203</t>
  </si>
  <si>
    <t xml:space="preserve">鐵 </t>
  </si>
  <si>
    <t>石造、堅硬、垃圾、閃閃發光、看起來很難</t>
  </si>
  <si>
    <t>204</t>
  </si>
  <si>
    <t>晶光花</t>
  </si>
  <si>
    <t>205</t>
  </si>
  <si>
    <t>索財靈</t>
  </si>
  <si>
    <t>收藏家</t>
  </si>
  <si>
    <t>詭異、金屬感、不可思議、閃光、難度高</t>
  </si>
  <si>
    <t>206</t>
  </si>
  <si>
    <t>賽富豪</t>
  </si>
  <si>
    <t>207</t>
  </si>
  <si>
    <t>六尾</t>
  </si>
  <si>
    <t>感受火焰、柔軟、可愛、圓形、花朵盛開</t>
  </si>
  <si>
    <t>208</t>
  </si>
  <si>
    <t>九尾</t>
  </si>
  <si>
    <t>感受火焰、柔軟、觀賞樂趣、華麗、花朵</t>
  </si>
  <si>
    <t>209</t>
  </si>
  <si>
    <t>蚊香蝌蚪</t>
  </si>
  <si>
    <t>感受水、整潔、圓形、交通工具、旋轉</t>
  </si>
  <si>
    <t>210</t>
  </si>
  <si>
    <t>蚊香蛙</t>
  </si>
  <si>
    <t>感受水、整潔、感受自然、訓練、旋轉</t>
  </si>
  <si>
    <t>211</t>
  </si>
  <si>
    <t>蚊香泳士</t>
  </si>
  <si>
    <t>感受水、整潔、建設、訓練、大家一起用</t>
  </si>
  <si>
    <t>212</t>
  </si>
  <si>
    <t>滋潤、帶氣氛</t>
  </si>
  <si>
    <t>感受水、遊樂場、聲音、聚集、大家一起用</t>
  </si>
  <si>
    <t>213</t>
  </si>
  <si>
    <t>凱西</t>
  </si>
  <si>
    <t>瞬間移動</t>
  </si>
  <si>
    <t>不可思議、搖晃、金屬感、柔軟、觀賞樂趣</t>
  </si>
  <si>
    <t>214</t>
  </si>
  <si>
    <t>勇基拉</t>
  </si>
  <si>
    <t>不可思議、搖晃、金屬感、容器、觀賞樂趣</t>
  </si>
  <si>
    <t>215</t>
  </si>
  <si>
    <t>瞬間移動、交易</t>
  </si>
  <si>
    <t>不可思議、搖晃、金屬感、有文字、觀賞樂趣</t>
  </si>
  <si>
    <t>216</t>
  </si>
  <si>
    <t>魔尼尼</t>
  </si>
  <si>
    <t>不可思議、可愛、交通工具、遊樂、色彩</t>
  </si>
  <si>
    <t>217</t>
  </si>
  <si>
    <t>不可思議、可愛、交通工具、搖晃、觀賞</t>
  </si>
  <si>
    <t>218</t>
  </si>
  <si>
    <t>柔軟、不可思議、方形、建設、五彩繽紛</t>
  </si>
  <si>
    <t>219</t>
  </si>
  <si>
    <t>多邊獸2</t>
  </si>
  <si>
    <t>柔軟、不可思議、圓形、建設、五彩繽紛</t>
  </si>
  <si>
    <t>220</t>
  </si>
  <si>
    <t>多邊獸Z</t>
  </si>
  <si>
    <t>稀有化</t>
  </si>
  <si>
    <t>柔軟、不可思議、布製、觀賞樂趣、色彩</t>
  </si>
  <si>
    <t>221</t>
  </si>
  <si>
    <t>感受水、感受火焰、整潔、可愛、細長</t>
  </si>
  <si>
    <t>222</t>
  </si>
  <si>
    <t>哈克龍</t>
  </si>
  <si>
    <t>感受水、感受火焰、整潔、玻璃、細長</t>
  </si>
  <si>
    <t>223</t>
  </si>
  <si>
    <t>感受火焰、感受風、整潔、象徵、花朵盛開</t>
  </si>
  <si>
    <t>224</t>
  </si>
  <si>
    <t>火球鼠</t>
  </si>
  <si>
    <t>感受火焰、布製、細長、金屬感、交通工具</t>
  </si>
  <si>
    <t>225</t>
  </si>
  <si>
    <t>火岩鼠</t>
  </si>
  <si>
    <t>226</t>
  </si>
  <si>
    <t>火爆獸</t>
  </si>
  <si>
    <t>227</t>
  </si>
  <si>
    <t>夢妖</t>
  </si>
  <si>
    <t>詭異、不可思議、閃閃發光、色彩、觀賞</t>
  </si>
  <si>
    <t>228</t>
  </si>
  <si>
    <t>夢妖魔</t>
  </si>
  <si>
    <t>詭異、不可思議、聲音、搖晃、大家一起用</t>
  </si>
  <si>
    <t>229</t>
  </si>
  <si>
    <t>麒麟奇</t>
  </si>
  <si>
    <t>柔軟、不可思議、交通工具、觀賞樂趣、細長</t>
  </si>
  <si>
    <t>230</t>
  </si>
  <si>
    <t>奇麒麟</t>
  </si>
  <si>
    <t>找東西、分類</t>
  </si>
  <si>
    <t>231</t>
  </si>
  <si>
    <t>拉魯拉絲</t>
  </si>
  <si>
    <t>不可思議、可愛、療癒傷口、觀賞樂趣、象徵</t>
  </si>
  <si>
    <t>232</t>
  </si>
  <si>
    <t>奇魯莉安</t>
  </si>
  <si>
    <t>233</t>
  </si>
  <si>
    <t>不可思議、華麗、療癒傷口、觀賞樂趣、象徵</t>
  </si>
  <si>
    <t>234</t>
  </si>
  <si>
    <t>艾路雷朵</t>
  </si>
  <si>
    <t>建造、瞬間移動</t>
  </si>
  <si>
    <t>不可思議、訓練、療癒傷口、建設、布製</t>
  </si>
  <si>
    <t>235</t>
  </si>
  <si>
    <t>正電拍拍</t>
  </si>
  <si>
    <t>電力驅動、玻璃、柔軟、可愛、大家一起用</t>
  </si>
  <si>
    <t>236</t>
  </si>
  <si>
    <t>負電拍拍</t>
  </si>
  <si>
    <t>237</t>
  </si>
  <si>
    <t>大顎蟻</t>
  </si>
  <si>
    <t>感受土、堅硬、不可思議、觀賞樂趣、訓練</t>
  </si>
  <si>
    <t>238</t>
  </si>
  <si>
    <t>超音波幼蟲</t>
  </si>
  <si>
    <t>重踏、飛翔</t>
  </si>
  <si>
    <t>感受土、感受火焰、感受自然、華麗、聲音</t>
  </si>
  <si>
    <t>239</t>
  </si>
  <si>
    <t>沙漠蜻蜓</t>
  </si>
  <si>
    <t>感受土、感受火焰、感受自然、石造、木製</t>
  </si>
  <si>
    <t>240</t>
  </si>
  <si>
    <t>青綿鳥</t>
  </si>
  <si>
    <t>柔軟、感受風、可愛、觀賞樂趣、整潔</t>
  </si>
  <si>
    <t>241</t>
  </si>
  <si>
    <t>飛翔、亂撒</t>
  </si>
  <si>
    <t>柔軟、感受風、可愛、觀賞樂趣、聲音</t>
  </si>
  <si>
    <t>242</t>
  </si>
  <si>
    <t>夜巡靈</t>
  </si>
  <si>
    <t>詭異、不可思議、交通工具、玻璃、布製</t>
  </si>
  <si>
    <t>243</t>
  </si>
  <si>
    <t>彷徨夜靈</t>
  </si>
  <si>
    <t>詭異、不可思議、交通工具、柔軟、容器</t>
  </si>
  <si>
    <t>244</t>
  </si>
  <si>
    <t>黑夜魔靈</t>
  </si>
  <si>
    <t>詭異、不可思議、交通工具、大家一起用、容器</t>
  </si>
  <si>
    <t>245</t>
  </si>
  <si>
    <t>鐵啞鈴</t>
  </si>
  <si>
    <t>金屬感、不可思議、堅硬、難度高、石造</t>
  </si>
  <si>
    <t>246</t>
  </si>
  <si>
    <t>247</t>
  </si>
  <si>
    <t>巨金怪</t>
  </si>
  <si>
    <t>回收利用、碾壓</t>
  </si>
  <si>
    <t>金屬感、不可思議、堅硬、訓練、華麗</t>
  </si>
  <si>
    <t>248</t>
  </si>
  <si>
    <t>感受自然、木製、感受水、搖晃、閃閃發光</t>
  </si>
  <si>
    <t>249</t>
  </si>
  <si>
    <t>青藤蛇</t>
  </si>
  <si>
    <t>感受自然、木製、感受水、整潔、閃閃發光</t>
  </si>
  <si>
    <t>250</t>
  </si>
  <si>
    <t>君主蛇</t>
  </si>
  <si>
    <t>感受自然、木製、感受水、容器、細長</t>
  </si>
  <si>
    <t>251</t>
  </si>
  <si>
    <t>呱呱泡蛙</t>
  </si>
  <si>
    <t>感受水、感受海、整潔、觀賞樂趣、容器</t>
  </si>
  <si>
    <t>252</t>
  </si>
  <si>
    <t>呱頭蛙</t>
  </si>
  <si>
    <t>感受水、感受海、整潔、觀賞樂趣、訓練</t>
  </si>
  <si>
    <t>253</t>
  </si>
  <si>
    <t>甲賀忍蛙</t>
  </si>
  <si>
    <t>滋潤、伐木</t>
  </si>
  <si>
    <t>感受水、感受海、整潔、閃閃發光、訓練</t>
  </si>
  <si>
    <t>254</t>
  </si>
  <si>
    <t>咚咚鼠</t>
  </si>
  <si>
    <t>電力驅動、可愛、觀賞樂趣、大家用、食物</t>
  </si>
  <si>
    <t>255</t>
  </si>
  <si>
    <t>嗡蝠</t>
  </si>
  <si>
    <t>感受風、感受火焰、觀賞樂趣、華麗、食物</t>
  </si>
  <si>
    <t>256</t>
  </si>
  <si>
    <t>音波龍</t>
  </si>
  <si>
    <t>感受風、感受火焰、觀賞樂趣、遊樂場、食物</t>
  </si>
  <si>
    <t>257</t>
  </si>
  <si>
    <t>稚山雀</t>
  </si>
  <si>
    <t>感受風、閃閃發光、容器、細長、木製</t>
  </si>
  <si>
    <t>258</t>
  </si>
  <si>
    <t>藍鴉</t>
  </si>
  <si>
    <t>259</t>
  </si>
  <si>
    <t>鋼鎧鴉</t>
  </si>
  <si>
    <t>感受風、金屬感、閃閃發光、容器、木製</t>
  </si>
  <si>
    <t>260</t>
  </si>
  <si>
    <t>多龍梅西亞</t>
  </si>
  <si>
    <t>感受火焰、詭異、交通工具、不可思議、大家</t>
  </si>
  <si>
    <t>261</t>
  </si>
  <si>
    <t>多龍奇</t>
  </si>
  <si>
    <t>262</t>
  </si>
  <si>
    <t>多龍巴魯托</t>
  </si>
  <si>
    <t>263</t>
  </si>
  <si>
    <t>新葉喵</t>
  </si>
  <si>
    <t>感受自然、花朵盛開、容器、多彩、可愛</t>
  </si>
  <si>
    <t>264</t>
  </si>
  <si>
    <t>蒂蕾喵</t>
  </si>
  <si>
    <t>感受自然、花朵盛開、尖銳、多彩、可愛</t>
  </si>
  <si>
    <t>265</t>
  </si>
  <si>
    <t>魔幻假面喵</t>
  </si>
  <si>
    <t>栽培、帶氣氛</t>
  </si>
  <si>
    <t>感受自然、花朵盛開、閃光、華麗、可愛</t>
  </si>
  <si>
    <t>266</t>
  </si>
  <si>
    <t>電海燕</t>
  </si>
  <si>
    <t>電力驅動、感受風、感受海、聚集、難度高</t>
  </si>
  <si>
    <t>267</t>
  </si>
  <si>
    <t>大電海燕</t>
  </si>
  <si>
    <t>飛翔、發電</t>
  </si>
  <si>
    <t>電力驅動、感受風、感受海、聚集、細長</t>
  </si>
  <si>
    <t>268</t>
  </si>
  <si>
    <t>小鍛匠</t>
  </si>
  <si>
    <t>可愛、金屬感、建設、像食物、訓練</t>
  </si>
  <si>
    <t>269</t>
  </si>
  <si>
    <t>巧鍛匠</t>
  </si>
  <si>
    <t>可愛、金屬感、建設、大家一起用、訓練</t>
  </si>
  <si>
    <t>270</t>
  </si>
  <si>
    <t>巨鍛匠</t>
  </si>
  <si>
    <t>職人</t>
  </si>
  <si>
    <t>可愛、金屬感、建設、方形、訓練</t>
  </si>
  <si>
    <t>271</t>
  </si>
  <si>
    <t>化石翼龍</t>
  </si>
  <si>
    <t>飛翔</t>
  </si>
  <si>
    <t>石造、感受風、堅硬、閃閃發光、旋轉</t>
  </si>
  <si>
    <t>272</t>
  </si>
  <si>
    <t>頭蓋龍</t>
  </si>
  <si>
    <t>石造、堅硬、搖晃、大家一起用、訓練</t>
  </si>
  <si>
    <t>273</t>
  </si>
  <si>
    <t>戰槌龍</t>
  </si>
  <si>
    <t>碾壓、亂撒</t>
  </si>
  <si>
    <t>石造、堅硬、金屬感、華麗、訓練</t>
  </si>
  <si>
    <t>274</t>
  </si>
  <si>
    <t>盾甲龍</t>
  </si>
  <si>
    <t>石造、堅硬、金屬感、華麗、圓形</t>
  </si>
  <si>
    <t>275</t>
  </si>
  <si>
    <t>護城龍</t>
  </si>
  <si>
    <t>276</t>
  </si>
  <si>
    <t>寶寶暴龍</t>
  </si>
  <si>
    <t>石造、堅硬、感受火焰、華麗、訓練</t>
  </si>
  <si>
    <t>277</t>
  </si>
  <si>
    <t>怪顎龍</t>
  </si>
  <si>
    <t>278</t>
  </si>
  <si>
    <t>冰雪龍</t>
  </si>
  <si>
    <t>石造、堅硬、閃閃發光、大家一起用、容器</t>
  </si>
  <si>
    <t>279</t>
  </si>
  <si>
    <t>冰雪巨龍</t>
  </si>
  <si>
    <t>石造、堅硬、閃閃發光、聲音、象徵</t>
  </si>
  <si>
    <t>280</t>
  </si>
  <si>
    <t>伊布</t>
  </si>
  <si>
    <t>柔軟、石造、可愛、有文字、大家一起用</t>
  </si>
  <si>
    <t>281</t>
  </si>
  <si>
    <t>水伊布</t>
  </si>
  <si>
    <t>感受水、整潔、可愛、花朵盛開、觀賞樂趣</t>
  </si>
  <si>
    <t>282</t>
  </si>
  <si>
    <t>雷伊布</t>
  </si>
  <si>
    <t>電力驅動、閃閃發光、可愛、玻璃、尖銳</t>
  </si>
  <si>
    <t>283</t>
  </si>
  <si>
    <t>火伊布</t>
  </si>
  <si>
    <t>感受火焰、木製、可愛、金屬感、交通工具</t>
  </si>
  <si>
    <t>284</t>
  </si>
  <si>
    <t>太陽伊布</t>
  </si>
  <si>
    <t>不可思議、感受風、可愛、難度高、觀賞</t>
  </si>
  <si>
    <t>285</t>
  </si>
  <si>
    <t>月亮伊布</t>
  </si>
  <si>
    <t>閃閃發光、華麗、可愛、有文字、觀賞樂趣</t>
  </si>
  <si>
    <t>286</t>
  </si>
  <si>
    <t>葉伊布</t>
  </si>
  <si>
    <t>感受自然、花朵盛開、可愛、布製、療癒</t>
  </si>
  <si>
    <t>287</t>
  </si>
  <si>
    <t>冰伊布</t>
  </si>
  <si>
    <t>感受水、閃閃發光、可愛、玻璃、大家用</t>
  </si>
  <si>
    <t>288</t>
  </si>
  <si>
    <t>仙子伊布</t>
  </si>
  <si>
    <t>可愛、感受自然、布製、聲音、圓形</t>
  </si>
  <si>
    <t>289</t>
  </si>
  <si>
    <t>蓋歐卡</t>
  </si>
  <si>
    <t>感受水、感受海、華麗、閃閃發光、玻璃</t>
  </si>
  <si>
    <t>290</t>
  </si>
  <si>
    <t>雷公</t>
  </si>
  <si>
    <t>電力驅動、感受風、閃閃發光、玻璃、華麗</t>
  </si>
  <si>
    <t>291</t>
  </si>
  <si>
    <t>炎帝</t>
  </si>
  <si>
    <t>感受火焰、石造、象徵、訓練、華麗</t>
  </si>
  <si>
    <t>292</t>
  </si>
  <si>
    <t>水君</t>
  </si>
  <si>
    <t>感受水、感受海、整潔、觀賞樂趣、療癒</t>
  </si>
  <si>
    <t>293</t>
  </si>
  <si>
    <t>波爾凱尼恩</t>
  </si>
  <si>
    <t>感受火焰、感受水、石造、容器、象徵</t>
  </si>
  <si>
    <t>294</t>
  </si>
  <si>
    <t>急凍鳥</t>
  </si>
  <si>
    <t>感受水、感受風、閃閃發光、象徵、華麗</t>
  </si>
  <si>
    <t>295</t>
  </si>
  <si>
    <t>閃電鳥</t>
  </si>
  <si>
    <t>電力驅動、感受風、玻璃、象徵、華麗</t>
  </si>
  <si>
    <t>296</t>
  </si>
  <si>
    <t>火焰鳥</t>
  </si>
  <si>
    <t>感受火焰、感受風、石造、象徵、華麗</t>
  </si>
  <si>
    <t>297</t>
  </si>
  <si>
    <t>洛奇亞</t>
  </si>
  <si>
    <t>不可思議、感受風、感受水、感受海、象徵</t>
  </si>
  <si>
    <t>298</t>
  </si>
  <si>
    <t>鳳王</t>
  </si>
  <si>
    <t>感受火焰、木製、感受風、感受自然、象徵</t>
  </si>
  <si>
    <t>299</t>
  </si>
  <si>
    <t>超夢</t>
  </si>
  <si>
    <t>不可思議、觀賞樂趣、有文字、難度高、石造</t>
  </si>
  <si>
    <t>300</t>
  </si>
  <si>
    <t>夢幻</t>
  </si>
  <si>
    <t>不可思議、觀賞樂趣、華麗、難度高、遊樂場</t>
  </si>
  <si>
    <t>活動</t>
  </si>
  <si>
    <t>毽子草</t>
  </si>
  <si>
    <t>柔軟、感受自然、感受風、花朵盛開、搖晃</t>
  </si>
  <si>
    <t>毽子花</t>
  </si>
  <si>
    <t>柔軟、感受自然、感受風、花朵盛開、旋轉</t>
  </si>
  <si>
    <t>毽子棉</t>
  </si>
  <si>
    <t>柔軟、感受自然、感受風、花朵盛開、圓形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</si>
</sst>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b/>
      <color rgb="FFFFFFFF"/>
      <name val="Arial"/>
    </font>
    <font>
      <color rgb="FF1F1F1F"/>
      <name val="&quot;Google Sans Text&quot;"/>
    </font>
    <font>
      <b/>
      <color rgb="FF1F1F1F"/>
      <name val="&quot;Google Sans Text&quot;"/>
    </font>
    <font>
      <u/>
      <color rgb="FF0000FF"/>
    </font>
    <font>
      <u/>
      <color rgb="FF0000FF"/>
    </font>
    <font>
      <u/>
      <color rgb="FF0000FF"/>
    </font>
    <font>
      <b/>
      <color theme="1"/>
      <name val="Microsoft JhengHei"/>
    </font>
    <font>
      <b/>
      <color rgb="FF000000"/>
      <name val="Microsoft JhengHe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11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/>
    </xf>
    <xf borderId="3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5" fillId="4" fontId="4" numFmtId="0" xfId="0" applyAlignment="1" applyBorder="1" applyFill="1" applyFont="1">
      <alignment horizontal="center" readingOrder="0" vertical="bottom"/>
    </xf>
    <xf borderId="6" fillId="4" fontId="4" numFmtId="0" xfId="0" applyAlignment="1" applyBorder="1" applyFont="1">
      <alignment horizontal="center" readingOrder="0" vertical="bottom"/>
    </xf>
    <xf borderId="6" fillId="4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bottom"/>
    </xf>
    <xf borderId="3" fillId="0" fontId="1" numFmtId="0" xfId="0" applyBorder="1" applyFont="1"/>
    <xf borderId="5" fillId="2" fontId="4" numFmtId="0" xfId="0" applyAlignment="1" applyBorder="1" applyFont="1">
      <alignment horizontal="center" readingOrder="0" vertical="bottom"/>
    </xf>
    <xf borderId="6" fillId="2" fontId="4" numFmtId="0" xfId="0" applyAlignment="1" applyBorder="1" applyFont="1">
      <alignment horizontal="center" readingOrder="0" vertical="bottom"/>
    </xf>
    <xf borderId="7" fillId="2" fontId="4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center" wrapText="0"/>
    </xf>
    <xf quotePrefix="1"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1" numFmtId="0" xfId="0" applyAlignment="1" applyFont="1">
      <alignment shrinkToFit="0" vertical="center" wrapText="0"/>
    </xf>
    <xf borderId="0" fillId="0" fontId="1" numFmtId="0" xfId="0" applyFont="1"/>
    <xf borderId="0" fillId="0" fontId="1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寶可夢喜好表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307" displayName="表" name="表" id="1">
  <autoFilter ref="$A$1:$Z$307"/>
  <tableColumns count="26">
    <tableColumn name="編號" id="1"/>
    <tableColumn name="寶可夢名稱" id="2"/>
    <tableColumn name="專長" id="3"/>
    <tableColumn name="掉落物" id="4"/>
    <tableColumn name="喜歡的環境" id="5"/>
    <tableColumn name="喜歡的事物 (標籤)" id="6"/>
    <tableColumn name="喜歡的口味 (範例)" id="7"/>
    <tableColumn name="棲息地1 / 道具)" id="8"/>
    <tableColumn name="I 欄 (場景1 出現名單)" id="9"/>
    <tableColumn name="棲息地2 / 道具)" id="10"/>
    <tableColumn name="K 欄 (場景2 出現名單)" id="11"/>
    <tableColumn name="棲息地3 / 道具)" id="12"/>
    <tableColumn name="M 欄 (場景3 出現名單)" id="13"/>
    <tableColumn name="第 1 欄" id="14"/>
    <tableColumn name="第 2 欄" id="15"/>
    <tableColumn name="第 3 欄" id="16"/>
    <tableColumn name="第 4 欄" id="17"/>
    <tableColumn name="第 5 欄" id="18"/>
    <tableColumn name="第 6 欄" id="19"/>
    <tableColumn name="第 7 欄" id="20"/>
    <tableColumn name="第 8 欄" id="21"/>
    <tableColumn name="第 9 欄" id="22"/>
    <tableColumn name="第 10 欄" id="23"/>
    <tableColumn name="第 11 欄" id="24"/>
    <tableColumn name="第 12 欄" id="25"/>
    <tableColumn name="第 13 欄" id="26"/>
  </tableColumns>
  <tableStyleInfo name="寶可夢喜好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D2wQv6s7EnOb1yU2kl_utwfcAu33CUR/view?usp=drive_link" TargetMode="External"/><Relationship Id="rId190" Type="http://schemas.openxmlformats.org/officeDocument/2006/relationships/hyperlink" Target="https://drive.google.com/file/d/1DAl-idv0ZdLCeM8EYozDED6NUuG_1OS4/view?usp=drive_link" TargetMode="External"/><Relationship Id="rId42" Type="http://schemas.openxmlformats.org/officeDocument/2006/relationships/hyperlink" Target="https://drive.google.com/file/d/1H0V8Fdmr17Can4HqZ_kn86nlGowUtbfx/view?usp=drive_link" TargetMode="External"/><Relationship Id="rId41" Type="http://schemas.openxmlformats.org/officeDocument/2006/relationships/hyperlink" Target="https://drive.google.com/file/d/19_FmcEfS-6SjCpmqN06rxWxqEjC0Yvmk/view?usp=drive_link" TargetMode="External"/><Relationship Id="rId44" Type="http://schemas.openxmlformats.org/officeDocument/2006/relationships/hyperlink" Target="https://drive.google.com/file/d/1ADJagxmVD3qisbF8wZyyA42hfviJszKd/view?usp=drive_link" TargetMode="External"/><Relationship Id="rId194" Type="http://schemas.openxmlformats.org/officeDocument/2006/relationships/hyperlink" Target="https://drive.google.com/file/d/1fo5Bu53B6ApQu61uLRqsWinbGGojqMBo/view?usp=drive_link" TargetMode="External"/><Relationship Id="rId43" Type="http://schemas.openxmlformats.org/officeDocument/2006/relationships/hyperlink" Target="https://drive.google.com/file/d/1SLPkA9bY97lvvIYtDio7KCvgbvmfmxa4/view?usp=drive_link" TargetMode="External"/><Relationship Id="rId193" Type="http://schemas.openxmlformats.org/officeDocument/2006/relationships/hyperlink" Target="https://drive.google.com/file/d/1ukcnC5igwgpMhz2n8vIse5pRuxttkUn0/view?usp=drive_link" TargetMode="External"/><Relationship Id="rId46" Type="http://schemas.openxmlformats.org/officeDocument/2006/relationships/hyperlink" Target="https://drive.google.com/file/d/1qyi1sEe_mSo-GI6Rv001JV8cjgE2BxI6/view?usp=drive_link" TargetMode="External"/><Relationship Id="rId192" Type="http://schemas.openxmlformats.org/officeDocument/2006/relationships/hyperlink" Target="https://drive.google.com/file/d/1cRy_6x9tIGbYYYxpXNp8iGTZ0tD-l5sE/view?usp=drive_link" TargetMode="External"/><Relationship Id="rId45" Type="http://schemas.openxmlformats.org/officeDocument/2006/relationships/hyperlink" Target="https://drive.google.com/file/d/1NAInQBxrYUoTGzaaoM8Sue0xS76RWJu2/view?usp=drive_link" TargetMode="External"/><Relationship Id="rId191" Type="http://schemas.openxmlformats.org/officeDocument/2006/relationships/hyperlink" Target="https://drive.google.com/file/d/11WCwS4rxIJwX20aZoEsOOleBcCaWu9As/view?usp=drive_link" TargetMode="External"/><Relationship Id="rId48" Type="http://schemas.openxmlformats.org/officeDocument/2006/relationships/hyperlink" Target="https://drive.google.com/file/d/1ohDxUQ0Qm6eGyctH6qsogGTzgYaD5pBC/view?usp=drive_link" TargetMode="External"/><Relationship Id="rId187" Type="http://schemas.openxmlformats.org/officeDocument/2006/relationships/hyperlink" Target="https://drive.google.com/file/d/1Zbxd8qDnZ7yYNsM6q0mQXXH7aEf12Ezg/view?usp=drive_link" TargetMode="External"/><Relationship Id="rId47" Type="http://schemas.openxmlformats.org/officeDocument/2006/relationships/hyperlink" Target="https://drive.google.com/file/d/1PCKRG5pB-QE4sc8xjdHb0uOIiYD4lrYD/view?usp=drive_link" TargetMode="External"/><Relationship Id="rId186" Type="http://schemas.openxmlformats.org/officeDocument/2006/relationships/hyperlink" Target="https://drive.google.com/file/d/1oxzoNxCaSjFapLNYvxtQNGMaTyuGEKDf/view?usp=drive_link" TargetMode="External"/><Relationship Id="rId185" Type="http://schemas.openxmlformats.org/officeDocument/2006/relationships/hyperlink" Target="https://drive.google.com/file/d/1LGBiyX_7N8MCuuf2Wtj7vZGUjs2tf40k/view?usp=drive_link" TargetMode="External"/><Relationship Id="rId49" Type="http://schemas.openxmlformats.org/officeDocument/2006/relationships/hyperlink" Target="https://drive.google.com/file/d/1fmevb2bbfXZshEVAZHnl6UMm42K-I58v/view?usp=drive_link" TargetMode="External"/><Relationship Id="rId184" Type="http://schemas.openxmlformats.org/officeDocument/2006/relationships/hyperlink" Target="https://drive.google.com/file/d/1LMf6mJfDZ3LqNqJ80GwKYUIKLw1LlJ9Q/view?usp=drive_link" TargetMode="External"/><Relationship Id="rId189" Type="http://schemas.openxmlformats.org/officeDocument/2006/relationships/hyperlink" Target="https://drive.google.com/file/d/1nt7FYfOU0phAYFbfZPEP0SxjNEAB3vTF/view?usp=drive_link" TargetMode="External"/><Relationship Id="rId188" Type="http://schemas.openxmlformats.org/officeDocument/2006/relationships/hyperlink" Target="https://drive.google.com/file/d/15B03Y7ux3Qb_wZNl5NTAXpY6sFtCWEmj/view?usp=drive_link" TargetMode="External"/><Relationship Id="rId31" Type="http://schemas.openxmlformats.org/officeDocument/2006/relationships/hyperlink" Target="https://drive.google.com/file/d/1HDoKzr-bOVCO4MZBahsLi-5SukLEUApY/view?usp=drive_link" TargetMode="External"/><Relationship Id="rId30" Type="http://schemas.openxmlformats.org/officeDocument/2006/relationships/hyperlink" Target="https://drive.google.com/file/d/1yTMvl-TTPdZvYO8Dss-kfVa18l1S8hKp/view?usp=drive_link" TargetMode="External"/><Relationship Id="rId33" Type="http://schemas.openxmlformats.org/officeDocument/2006/relationships/hyperlink" Target="https://drive.google.com/file/d/1NyGxjwiINsObEZv5eZydpDHkY7Noicfg/view?usp=drive_link" TargetMode="External"/><Relationship Id="rId183" Type="http://schemas.openxmlformats.org/officeDocument/2006/relationships/hyperlink" Target="https://drive.google.com/file/d/1nJ7HexA9_VdU4Keu2Jns_nQG_SD8eE_i/view?usp=drive_link" TargetMode="External"/><Relationship Id="rId32" Type="http://schemas.openxmlformats.org/officeDocument/2006/relationships/hyperlink" Target="https://drive.google.com/file/d/1lYfXfavq0TBl9HHF8eqIUvjJFvldc6GB/view?usp=drive_link" TargetMode="External"/><Relationship Id="rId182" Type="http://schemas.openxmlformats.org/officeDocument/2006/relationships/hyperlink" Target="https://drive.google.com/file/d/1x_hFtdfV7JlGRvCzLdvV6wISzl6mqJw2/view?usp=drive_link" TargetMode="External"/><Relationship Id="rId35" Type="http://schemas.openxmlformats.org/officeDocument/2006/relationships/hyperlink" Target="https://drive.google.com/file/d/1joFxiLq6Xqr-ZXZ8-7vBKfpK-Yxb8iHd/view?usp=drive_link" TargetMode="External"/><Relationship Id="rId181" Type="http://schemas.openxmlformats.org/officeDocument/2006/relationships/hyperlink" Target="https://drive.google.com/file/d/1c9mphxUsgeo3l719_cJC-tFwB1faIrvr/view?usp=drive_link" TargetMode="External"/><Relationship Id="rId34" Type="http://schemas.openxmlformats.org/officeDocument/2006/relationships/hyperlink" Target="https://drive.google.com/file/d/1cKJ8IPz3WQ6DG1vQb1N7wvPVKF5UWM2J/view?usp=drive_link" TargetMode="External"/><Relationship Id="rId180" Type="http://schemas.openxmlformats.org/officeDocument/2006/relationships/hyperlink" Target="https://drive.google.com/file/d/118bHa43lJ-cBj5L1ZU-4F6RfMXNS_15h/view?usp=drive_link" TargetMode="External"/><Relationship Id="rId37" Type="http://schemas.openxmlformats.org/officeDocument/2006/relationships/hyperlink" Target="https://drive.google.com/file/d/1LytccQl21AjbkiqUQqPcbN_TZYKmN7dr/view?usp=drive_link" TargetMode="External"/><Relationship Id="rId176" Type="http://schemas.openxmlformats.org/officeDocument/2006/relationships/hyperlink" Target="https://drive.google.com/file/d/10UlQno1GCaEvg_ZIS5rekFZTlVwkWGef/view?usp=drive_link" TargetMode="External"/><Relationship Id="rId36" Type="http://schemas.openxmlformats.org/officeDocument/2006/relationships/hyperlink" Target="https://drive.google.com/file/d/1Viy3kDTiRGBHZphYMHRmYmkKuJx5NMWw/view?usp=drive_link" TargetMode="External"/><Relationship Id="rId175" Type="http://schemas.openxmlformats.org/officeDocument/2006/relationships/hyperlink" Target="https://drive.google.com/file/d/1AyGNw_cuLg-pZW7gcEbJE0KRO_5Obtn0/view?usp=drive_link" TargetMode="External"/><Relationship Id="rId39" Type="http://schemas.openxmlformats.org/officeDocument/2006/relationships/hyperlink" Target="https://drive.google.com/file/d/1FD045dZ0IoiEuAzHpWD93NriuGWrxeyr/view?usp=drive_link" TargetMode="External"/><Relationship Id="rId174" Type="http://schemas.openxmlformats.org/officeDocument/2006/relationships/hyperlink" Target="https://drive.google.com/file/d/1omno-XGpEIy5QtVDCs4kSVroi737bMUq/view?usp=drive_link" TargetMode="External"/><Relationship Id="rId38" Type="http://schemas.openxmlformats.org/officeDocument/2006/relationships/hyperlink" Target="https://drive.google.com/file/d/1sF8CRK36ZPLKDN3LDYnVNlnuoeIr2Yd5/view?usp=drive_link" TargetMode="External"/><Relationship Id="rId173" Type="http://schemas.openxmlformats.org/officeDocument/2006/relationships/hyperlink" Target="https://drive.google.com/file/d/1rIWm_oBVfSXJ1iwCgdibaI53mAakH6_C/view?usp=drive_link" TargetMode="External"/><Relationship Id="rId179" Type="http://schemas.openxmlformats.org/officeDocument/2006/relationships/hyperlink" Target="https://drive.google.com/file/d/1DlOwsJfgsu-2or-pWqGiw-r729YwafaK/view?usp=drive_link" TargetMode="External"/><Relationship Id="rId178" Type="http://schemas.openxmlformats.org/officeDocument/2006/relationships/hyperlink" Target="https://drive.google.com/file/d/1KICLfGvqGnaknwbVxvqPOQN7dvZpyd5d/view?usp=drive_link" TargetMode="External"/><Relationship Id="rId177" Type="http://schemas.openxmlformats.org/officeDocument/2006/relationships/hyperlink" Target="https://drive.google.com/file/d/1fCFBdMuJMNmUUz0rnX91nTKO1TI510fr/view?usp=drive_link" TargetMode="External"/><Relationship Id="rId20" Type="http://schemas.openxmlformats.org/officeDocument/2006/relationships/hyperlink" Target="https://drive.google.com/file/d/1xLZR7Tsp1ZMTqDTbGVVvpw5bqZ1CuvGY/view?usp=drive_link" TargetMode="External"/><Relationship Id="rId22" Type="http://schemas.openxmlformats.org/officeDocument/2006/relationships/hyperlink" Target="https://drive.google.com/file/d/1yLkAA6Es4XvbY7OFs0wlQp1MtiuQ-Gqu/view?usp=drive_link" TargetMode="External"/><Relationship Id="rId21" Type="http://schemas.openxmlformats.org/officeDocument/2006/relationships/hyperlink" Target="https://drive.google.com/file/d/1IG2TcQGWffGFN2F84WUiO2bM9zvaewoY/view?usp=drive_link" TargetMode="External"/><Relationship Id="rId24" Type="http://schemas.openxmlformats.org/officeDocument/2006/relationships/hyperlink" Target="https://drive.google.com/file/d/1Ym45okARDdkyfF_ZzR3BD0qawn-ye3gq/view?usp=drive_link" TargetMode="External"/><Relationship Id="rId23" Type="http://schemas.openxmlformats.org/officeDocument/2006/relationships/hyperlink" Target="https://drive.google.com/file/d/1vZH2kamMfuXWmuQ4KlWODZnxqtptXSOp/view?usp=drive_link" TargetMode="External"/><Relationship Id="rId26" Type="http://schemas.openxmlformats.org/officeDocument/2006/relationships/hyperlink" Target="https://drive.google.com/file/d/1h933OGLQfet6ZWMyP4kodMMC1eiYvZPz/view?usp=drive_link" TargetMode="External"/><Relationship Id="rId25" Type="http://schemas.openxmlformats.org/officeDocument/2006/relationships/hyperlink" Target="https://drive.google.com/file/d/1yBISxXekCdWZcFW5CppnNvAgf0qMIJHx/view?usp=drive_link" TargetMode="External"/><Relationship Id="rId28" Type="http://schemas.openxmlformats.org/officeDocument/2006/relationships/hyperlink" Target="https://drive.google.com/file/d/1dd2IMbyTsIgCoxi6TfTAo7Y6cTjh_omG/view?usp=drive_link" TargetMode="External"/><Relationship Id="rId27" Type="http://schemas.openxmlformats.org/officeDocument/2006/relationships/hyperlink" Target="https://drive.google.com/file/d/1Z1TRDksTSds7c2xIaT6z4Dpe09rP2pbJ/view?usp=drive_link" TargetMode="External"/><Relationship Id="rId29" Type="http://schemas.openxmlformats.org/officeDocument/2006/relationships/hyperlink" Target="https://drive.google.com/file/d/1uj8O15kVRxPvY-VhrExpqYdkyvoPY3dS/view?usp=drive_link" TargetMode="External"/><Relationship Id="rId11" Type="http://schemas.openxmlformats.org/officeDocument/2006/relationships/hyperlink" Target="https://drive.google.com/file/d/1fBC42KzrWPHrGrKZSlsuPGUcffl2FbPM/view?usp=drive_link" TargetMode="External"/><Relationship Id="rId10" Type="http://schemas.openxmlformats.org/officeDocument/2006/relationships/hyperlink" Target="https://drive.google.com/file/d/13GWQEZZL6FlM4c33is_47k5pEQD6fHjB/view?usp=drive_link" TargetMode="External"/><Relationship Id="rId13" Type="http://schemas.openxmlformats.org/officeDocument/2006/relationships/hyperlink" Target="https://drive.google.com/file/d/14MtBLuKH364jLo-v3egXmfdVfeh5Nhz9/view?usp=drive_link" TargetMode="External"/><Relationship Id="rId12" Type="http://schemas.openxmlformats.org/officeDocument/2006/relationships/hyperlink" Target="https://drive.google.com/file/d/1kb9nrzFjrr2IPcq4ATBQQOUw6vaTpFJ7/view?usp=drive_link" TargetMode="External"/><Relationship Id="rId15" Type="http://schemas.openxmlformats.org/officeDocument/2006/relationships/hyperlink" Target="https://drive.google.com/file/d/1nDD6CuoMnLoga-f0PpsRtqWD57UfRBkx/view?usp=drive_link" TargetMode="External"/><Relationship Id="rId198" Type="http://schemas.openxmlformats.org/officeDocument/2006/relationships/hyperlink" Target="https://drive.google.com/file/d/1wU-FZjCJoUnTPSbmSSUv3h7TCtN-YCQe/view?usp=drive_link" TargetMode="External"/><Relationship Id="rId14" Type="http://schemas.openxmlformats.org/officeDocument/2006/relationships/hyperlink" Target="https://drive.google.com/file/d/14nbZVUvlsjY-LDtwN3AQa2hzZWDlnvgf/view?usp=drive_link" TargetMode="External"/><Relationship Id="rId197" Type="http://schemas.openxmlformats.org/officeDocument/2006/relationships/hyperlink" Target="https://drive.google.com/file/d/1HQKiAm7rv9dg1SCZ2GVgBExGS1nR7SBb/view?usp=drive_link" TargetMode="External"/><Relationship Id="rId17" Type="http://schemas.openxmlformats.org/officeDocument/2006/relationships/hyperlink" Target="https://drive.google.com/file/d/1RhhU84KkyO7NlAJy7orPp0p9Gvcqfa7p/view?usp=drive_link" TargetMode="External"/><Relationship Id="rId196" Type="http://schemas.openxmlformats.org/officeDocument/2006/relationships/hyperlink" Target="https://drive.google.com/file/d/18uF9Ofg5bLv58OqHcfPRjmGrxqrdGqHn/view?usp=drive_link" TargetMode="External"/><Relationship Id="rId16" Type="http://schemas.openxmlformats.org/officeDocument/2006/relationships/hyperlink" Target="https://drive.google.com/file/d/1GWhrzo7rxLbs37rHVEullF_ENsxgNAHk/view?usp=drive_link" TargetMode="External"/><Relationship Id="rId195" Type="http://schemas.openxmlformats.org/officeDocument/2006/relationships/hyperlink" Target="https://drive.google.com/file/d/1xREAknIwLK0SHveAUCA3taUO6nqcoexn/view?usp=drive_link" TargetMode="External"/><Relationship Id="rId19" Type="http://schemas.openxmlformats.org/officeDocument/2006/relationships/hyperlink" Target="https://drive.google.com/file/d/1NBZAjEUjlnSON7vZLet5XIsqsjVF3DG7/view?usp=drive_link" TargetMode="External"/><Relationship Id="rId18" Type="http://schemas.openxmlformats.org/officeDocument/2006/relationships/hyperlink" Target="https://drive.google.com/file/d/1xjXqd9TAn4SNoGBre-Gwh6YcMaT9nnTd/view?usp=drive_link" TargetMode="External"/><Relationship Id="rId199" Type="http://schemas.openxmlformats.org/officeDocument/2006/relationships/hyperlink" Target="https://drive.google.com/file/d/1bUPWWlvMMS-uJRJ1Qy1dAc4P76ydg3Qd/view?usp=drive_link" TargetMode="External"/><Relationship Id="rId84" Type="http://schemas.openxmlformats.org/officeDocument/2006/relationships/hyperlink" Target="https://drive.google.com/file/d/1FGQgbJcMjOZdDHGKQh4nRfbDiIJgNkDB/view?usp=drive_link" TargetMode="External"/><Relationship Id="rId83" Type="http://schemas.openxmlformats.org/officeDocument/2006/relationships/hyperlink" Target="https://drive.google.com/file/d/1fnhhAhblqFuJ3cwEEez6dxk6rF_7K7yq/view?usp=drive_link" TargetMode="External"/><Relationship Id="rId86" Type="http://schemas.openxmlformats.org/officeDocument/2006/relationships/hyperlink" Target="https://drive.google.com/file/d/1Ik0ilv4oKYCPinSO8Gf-shw-RzxIq9Yr/view?usp=drive_link" TargetMode="External"/><Relationship Id="rId85" Type="http://schemas.openxmlformats.org/officeDocument/2006/relationships/hyperlink" Target="https://drive.google.com/file/d/1C9f8Bm5PsnCpAB9x9HVOzKEjRXO7pfJ8/view?usp=drive_link" TargetMode="External"/><Relationship Id="rId88" Type="http://schemas.openxmlformats.org/officeDocument/2006/relationships/hyperlink" Target="https://drive.google.com/file/d/1zB4edv_gXaqsT4x8NDqCQpYkw2CJSAMt/view?usp=drive_link" TargetMode="External"/><Relationship Id="rId150" Type="http://schemas.openxmlformats.org/officeDocument/2006/relationships/hyperlink" Target="https://drive.google.com/file/d/1DOszPxMhJQz4Z7Kh3ACzUdomocd6tK9U/view?usp=drive_link" TargetMode="External"/><Relationship Id="rId87" Type="http://schemas.openxmlformats.org/officeDocument/2006/relationships/hyperlink" Target="https://drive.google.com/file/d/1cw4nIwPDdLHnyjDMQHqQN4OZuUXsFh2H/view?usp=drive_link" TargetMode="External"/><Relationship Id="rId89" Type="http://schemas.openxmlformats.org/officeDocument/2006/relationships/hyperlink" Target="https://drive.google.com/file/d/193JslbARFcl0XwM03w1lK0v9eB04Zyvh/view?usp=drive_link" TargetMode="External"/><Relationship Id="rId80" Type="http://schemas.openxmlformats.org/officeDocument/2006/relationships/hyperlink" Target="https://drive.google.com/file/d/1VQ4EzJlJCol4GUelGFZ7xJdryVIxifzP/view?usp=drive_link" TargetMode="External"/><Relationship Id="rId82" Type="http://schemas.openxmlformats.org/officeDocument/2006/relationships/hyperlink" Target="https://drive.google.com/file/d/1VshsAesA_bH6aeJkHOwd40kBXj7AoVgq/view?usp=drive_link" TargetMode="External"/><Relationship Id="rId81" Type="http://schemas.openxmlformats.org/officeDocument/2006/relationships/hyperlink" Target="https://drive.google.com/file/d/1LTyDHt1oOpWhy_2JPujWZv9E1-gp0SvM/view?usp=drive_link" TargetMode="External"/><Relationship Id="rId1" Type="http://schemas.openxmlformats.org/officeDocument/2006/relationships/hyperlink" Target="https://drive.google.com/file/d/1Zui1QKajr4K54-QnVN11axFwFdXqil_m/view?usp=drive_link" TargetMode="External"/><Relationship Id="rId2" Type="http://schemas.openxmlformats.org/officeDocument/2006/relationships/hyperlink" Target="https://drive.google.com/file/d/19CrdN30HGmpE_sHBpHI0ykoC1Xzs3nFL/view?usp=drive_link" TargetMode="External"/><Relationship Id="rId3" Type="http://schemas.openxmlformats.org/officeDocument/2006/relationships/hyperlink" Target="https://drive.google.com/file/d/1ELHxpsZlcq5M83YhnRXD5C6FIN78pF-b/view?usp=drive_link" TargetMode="External"/><Relationship Id="rId149" Type="http://schemas.openxmlformats.org/officeDocument/2006/relationships/hyperlink" Target="https://drive.google.com/file/d/16aWA0eVvWVXK9OSnZxDMteeKqpirhJ6-/view?usp=drive_link" TargetMode="External"/><Relationship Id="rId4" Type="http://schemas.openxmlformats.org/officeDocument/2006/relationships/hyperlink" Target="https://drive.google.com/file/d/1fwTkKzuuQxM9eaQ9Ln-6BPQEbC_bwkjJ/view?usp=drive_link" TargetMode="External"/><Relationship Id="rId148" Type="http://schemas.openxmlformats.org/officeDocument/2006/relationships/hyperlink" Target="https://drive.google.com/file/d/1g5NGzbvPExmYd0HZAtM8w-BwibDD4TJC/view?usp=drive_link" TargetMode="External"/><Relationship Id="rId9" Type="http://schemas.openxmlformats.org/officeDocument/2006/relationships/hyperlink" Target="https://drive.google.com/file/d/1Pa_OwADXdwfpOXBTrfLWXVTRGQROALa4/view?usp=drive_link" TargetMode="External"/><Relationship Id="rId143" Type="http://schemas.openxmlformats.org/officeDocument/2006/relationships/hyperlink" Target="https://drive.google.com/file/d/1XNUingTp0kd11uwMt9vuE64xjrDT6FGy/view?usp=drive_link" TargetMode="External"/><Relationship Id="rId142" Type="http://schemas.openxmlformats.org/officeDocument/2006/relationships/hyperlink" Target="https://drive.google.com/file/d/13teYUEJFzjsGwSLKb9nbb_v1a8LQVCHd/view?usp=drive_link" TargetMode="External"/><Relationship Id="rId141" Type="http://schemas.openxmlformats.org/officeDocument/2006/relationships/hyperlink" Target="https://drive.google.com/file/d/1E4Vyb-c47trp4SNcqwz4fla3fCFG3HsU/view?usp=drive_link" TargetMode="External"/><Relationship Id="rId140" Type="http://schemas.openxmlformats.org/officeDocument/2006/relationships/hyperlink" Target="https://drive.google.com/file/d/1uUZiAsBCJL2H-6e2ETtUiqpP7GRdLBUU/view?usp=drive_link" TargetMode="External"/><Relationship Id="rId5" Type="http://schemas.openxmlformats.org/officeDocument/2006/relationships/hyperlink" Target="https://drive.google.com/file/d/1zKMMiq7r3vrF5UvmbZPtVtD_dfDYdUP3/view?usp=drive_link" TargetMode="External"/><Relationship Id="rId147" Type="http://schemas.openxmlformats.org/officeDocument/2006/relationships/hyperlink" Target="https://drive.google.com/file/d/1qLMZjbLaC4CmCdiV3uJ13CYju79j9gKw/view?usp=drive_link" TargetMode="External"/><Relationship Id="rId6" Type="http://schemas.openxmlformats.org/officeDocument/2006/relationships/hyperlink" Target="https://drive.google.com/file/d/1Z5rKeD-bOwEO2zJCMhi8LMhShYWp-Ddb/view?usp=drive_link" TargetMode="External"/><Relationship Id="rId146" Type="http://schemas.openxmlformats.org/officeDocument/2006/relationships/hyperlink" Target="https://drive.google.com/file/d/17_cQhUb49THeSyMLG8W3TMECWXe6w1MJ/view?usp=drive_link" TargetMode="External"/><Relationship Id="rId7" Type="http://schemas.openxmlformats.org/officeDocument/2006/relationships/hyperlink" Target="https://drive.google.com/file/d/1t8xnCYn4TFB4oYGXSu-SqsGqdBDu9QAV/view?usp=drive_link" TargetMode="External"/><Relationship Id="rId145" Type="http://schemas.openxmlformats.org/officeDocument/2006/relationships/hyperlink" Target="https://drive.google.com/file/d/1IR1TK-FHKQh4XwwXgsSq7FkylOxUSYXf/view?usp=drive_link" TargetMode="External"/><Relationship Id="rId8" Type="http://schemas.openxmlformats.org/officeDocument/2006/relationships/hyperlink" Target="https://drive.google.com/file/d/1fZ5xoeCppudNCNreKNTA1N9jUYmH0NvG/view?usp=drive_link" TargetMode="External"/><Relationship Id="rId144" Type="http://schemas.openxmlformats.org/officeDocument/2006/relationships/hyperlink" Target="https://drive.google.com/file/d/1enmTRQoZdQWg6OJ0as8oKbBHJbMPvL7j/view?usp=drive_link" TargetMode="External"/><Relationship Id="rId73" Type="http://schemas.openxmlformats.org/officeDocument/2006/relationships/hyperlink" Target="https://drive.google.com/file/d/1ai78REM-eemzyYinMbxnh5WPEx6TQ00f/view?usp=drive_link" TargetMode="External"/><Relationship Id="rId72" Type="http://schemas.openxmlformats.org/officeDocument/2006/relationships/hyperlink" Target="https://drive.google.com/file/d/1lsc6oZZ-s2G4aNSGW0AEvD4ltw2BzY7v/view?usp=drive_link" TargetMode="External"/><Relationship Id="rId75" Type="http://schemas.openxmlformats.org/officeDocument/2006/relationships/hyperlink" Target="https://drive.google.com/file/d/1iJdQ1uVu53wGBbQktIDGXuLaeA1qXGOI/view?usp=drive_link" TargetMode="External"/><Relationship Id="rId74" Type="http://schemas.openxmlformats.org/officeDocument/2006/relationships/hyperlink" Target="https://drive.google.com/file/d/1x2Cz9BCtYa160-D1uF813mibNMFzR7_h/view?usp=drive_link" TargetMode="External"/><Relationship Id="rId77" Type="http://schemas.openxmlformats.org/officeDocument/2006/relationships/hyperlink" Target="https://drive.google.com/file/d/1GThbROnRLNEAD7UCThDRkdiXn8BcwFzj/view?usp=drive_link" TargetMode="External"/><Relationship Id="rId76" Type="http://schemas.openxmlformats.org/officeDocument/2006/relationships/hyperlink" Target="https://drive.google.com/file/d/1Fz5zba3oQByrvzmMqakxEk54294MmoDS/view?usp=drive_link" TargetMode="External"/><Relationship Id="rId79" Type="http://schemas.openxmlformats.org/officeDocument/2006/relationships/hyperlink" Target="https://drive.google.com/file/d/1HAJO4vktr3MTOddQq4RvdbeRhEC966jY/view?usp=drive_link" TargetMode="External"/><Relationship Id="rId78" Type="http://schemas.openxmlformats.org/officeDocument/2006/relationships/hyperlink" Target="https://drive.google.com/file/d/1jqgmWru-hr0owVFVhi_xVlq39y-k-WoX/view?usp=drive_link" TargetMode="External"/><Relationship Id="rId71" Type="http://schemas.openxmlformats.org/officeDocument/2006/relationships/hyperlink" Target="https://drive.google.com/file/d/1t-1nGGh81x1fwCPDKM2Og-LRJjxtiqLH/view?usp=drive_link" TargetMode="External"/><Relationship Id="rId70" Type="http://schemas.openxmlformats.org/officeDocument/2006/relationships/hyperlink" Target="https://drive.google.com/file/d/1R3ROkqoN9TPR29Mr8qY1qHD6BYQzDjG1/view?usp=drive_link" TargetMode="External"/><Relationship Id="rId139" Type="http://schemas.openxmlformats.org/officeDocument/2006/relationships/hyperlink" Target="https://drive.google.com/file/d/121iE4dkAqN7YQuxH5Vilq1n6s8r90css/view?usp=drive_link" TargetMode="External"/><Relationship Id="rId138" Type="http://schemas.openxmlformats.org/officeDocument/2006/relationships/hyperlink" Target="https://drive.google.com/file/d/1VEiwtHaEiN-lBzhSbQLLlnLuQyr4Kxre/view?usp=drive_link" TargetMode="External"/><Relationship Id="rId137" Type="http://schemas.openxmlformats.org/officeDocument/2006/relationships/hyperlink" Target="https://drive.google.com/file/d/1Kf2m8pKcblo2oFcUhFLD1RrEBwZdjZdV/view?usp=drive_link" TargetMode="External"/><Relationship Id="rId132" Type="http://schemas.openxmlformats.org/officeDocument/2006/relationships/hyperlink" Target="https://drive.google.com/file/d/1QiULuLATduwbKHunktz7aR81uBSj6O_7/view?usp=drive_link" TargetMode="External"/><Relationship Id="rId131" Type="http://schemas.openxmlformats.org/officeDocument/2006/relationships/hyperlink" Target="https://drive.google.com/file/d/1wgsUNYLEd0ssutK27Q0M03wh_vtT9Ahi/view?usp=drive_link" TargetMode="External"/><Relationship Id="rId130" Type="http://schemas.openxmlformats.org/officeDocument/2006/relationships/hyperlink" Target="https://drive.google.com/file/d/1Ng7kXG7u4lFfO_bGk6_HI44xNhp0hbrz/view?usp=drive_link" TargetMode="External"/><Relationship Id="rId136" Type="http://schemas.openxmlformats.org/officeDocument/2006/relationships/hyperlink" Target="https://drive.google.com/file/d/1dg0xgWDUbOrXQKTh_MkUWfsaemdVNDvk/view?usp=drive_link" TargetMode="External"/><Relationship Id="rId135" Type="http://schemas.openxmlformats.org/officeDocument/2006/relationships/hyperlink" Target="https://drive.google.com/file/d/1lkEHdOMoKgr2Pe9NlwUdt8BJdPpcuGGM/view?usp=drive_link" TargetMode="External"/><Relationship Id="rId134" Type="http://schemas.openxmlformats.org/officeDocument/2006/relationships/hyperlink" Target="https://drive.google.com/file/d/1JMlppermeV5hDufz-hJ5o6to1kp1zoH_/view?usp=drive_link" TargetMode="External"/><Relationship Id="rId133" Type="http://schemas.openxmlformats.org/officeDocument/2006/relationships/hyperlink" Target="https://drive.google.com/file/d/1KspWe0i3nhsQvL2CLG0e9hbHB45S2ySM/view?usp=drive_link" TargetMode="External"/><Relationship Id="rId62" Type="http://schemas.openxmlformats.org/officeDocument/2006/relationships/hyperlink" Target="https://drive.google.com/file/d/1IoVi4K6ovzGGn1A_TvkaQis5yKpuxR3g/view?usp=drive_link" TargetMode="External"/><Relationship Id="rId61" Type="http://schemas.openxmlformats.org/officeDocument/2006/relationships/hyperlink" Target="https://drive.google.com/file/d/12YlUaw2FaG0CyfaTVfyTthzhF3bHII_M/view?usp=drive_link" TargetMode="External"/><Relationship Id="rId64" Type="http://schemas.openxmlformats.org/officeDocument/2006/relationships/hyperlink" Target="https://drive.google.com/file/d/1Xa5IswDjpgsxb-XLZoZTCWGBBHljN2vr/view?usp=drive_link" TargetMode="External"/><Relationship Id="rId63" Type="http://schemas.openxmlformats.org/officeDocument/2006/relationships/hyperlink" Target="https://drive.google.com/file/d/1jjhhd0j0QZWGdnQkI9QReb_VY6I5aLfR/view?usp=drive_link" TargetMode="External"/><Relationship Id="rId66" Type="http://schemas.openxmlformats.org/officeDocument/2006/relationships/hyperlink" Target="https://drive.google.com/file/d/1MppskLBHgfOYqsgnRZAoYuNvxFMNuPPY/view?usp=drive_link" TargetMode="External"/><Relationship Id="rId172" Type="http://schemas.openxmlformats.org/officeDocument/2006/relationships/hyperlink" Target="https://drive.google.com/file/d/1JH2PhUzH5IWctP0oisAB74kgXMXYgh6I/view?usp=drive_link" TargetMode="External"/><Relationship Id="rId65" Type="http://schemas.openxmlformats.org/officeDocument/2006/relationships/hyperlink" Target="https://drive.google.com/file/d/1wjqAc6GQscy8Hn66S8-JtndnvqelwMsb/view?usp=drive_link" TargetMode="External"/><Relationship Id="rId171" Type="http://schemas.openxmlformats.org/officeDocument/2006/relationships/hyperlink" Target="https://drive.google.com/file/d/1JOLVqjLO_A8x7Ivs6CUEYcfU9u87kWko/view?usp=drive_link" TargetMode="External"/><Relationship Id="rId68" Type="http://schemas.openxmlformats.org/officeDocument/2006/relationships/hyperlink" Target="https://drive.google.com/file/d/18S7ZAuxq-oZUMAXJ6cgbqFr7JRwjuhhf/view?usp=drive_link" TargetMode="External"/><Relationship Id="rId170" Type="http://schemas.openxmlformats.org/officeDocument/2006/relationships/hyperlink" Target="https://drive.google.com/file/d/1_aviLYaAv9Oda8Z2UljBLwT65tmxxwwO/view?usp=drive_link" TargetMode="External"/><Relationship Id="rId67" Type="http://schemas.openxmlformats.org/officeDocument/2006/relationships/hyperlink" Target="https://drive.google.com/file/d/113CXhZMNDxIUsiDpLoyu_HUh_oRWFDoX/view?usp=drive_link" TargetMode="External"/><Relationship Id="rId60" Type="http://schemas.openxmlformats.org/officeDocument/2006/relationships/hyperlink" Target="https://drive.google.com/file/d/1bsdgIww8ksCeP9rs6Mth5mgemyYdAYXm/view?usp=drive_link" TargetMode="External"/><Relationship Id="rId165" Type="http://schemas.openxmlformats.org/officeDocument/2006/relationships/hyperlink" Target="https://drive.google.com/file/d/1wq2nyzMn1XPKWnChrjqhIcmj9-fyTkCL/view?usp=drive_link" TargetMode="External"/><Relationship Id="rId69" Type="http://schemas.openxmlformats.org/officeDocument/2006/relationships/hyperlink" Target="https://drive.google.com/file/d/19GWfDhUNC9shoeGXxyxMP3odHvfkD4Mi/view?usp=drive_link" TargetMode="External"/><Relationship Id="rId164" Type="http://schemas.openxmlformats.org/officeDocument/2006/relationships/hyperlink" Target="https://drive.google.com/file/d/1ZDRpuEeP7lAPMilE4N4HGiFL37O5TXPH/view?usp=drive_link" TargetMode="External"/><Relationship Id="rId163" Type="http://schemas.openxmlformats.org/officeDocument/2006/relationships/hyperlink" Target="https://drive.google.com/file/d/1iW3L_TpupM7D6MPe0xebvGmEVQSS7mn4/view?usp=drive_link" TargetMode="External"/><Relationship Id="rId162" Type="http://schemas.openxmlformats.org/officeDocument/2006/relationships/hyperlink" Target="https://drive.google.com/file/d/1ob8nlaa0AZeB_wQaE9w2nk12vcAAi-mw/view?usp=drive_link" TargetMode="External"/><Relationship Id="rId169" Type="http://schemas.openxmlformats.org/officeDocument/2006/relationships/hyperlink" Target="https://drive.google.com/file/d/1yHc9-xlTIOfHSMXDROugt7TJU8KpGrWP/view?usp=drive_link" TargetMode="External"/><Relationship Id="rId168" Type="http://schemas.openxmlformats.org/officeDocument/2006/relationships/hyperlink" Target="https://drive.google.com/file/d/1JgesowoNfYdG24T24eV3BPEikl62Lmv-/view?usp=drive_link" TargetMode="External"/><Relationship Id="rId167" Type="http://schemas.openxmlformats.org/officeDocument/2006/relationships/hyperlink" Target="https://drive.google.com/file/d/1Xha6osGCVf8EaGciz861bLNQVz_JBaur/view?usp=drive_link" TargetMode="External"/><Relationship Id="rId166" Type="http://schemas.openxmlformats.org/officeDocument/2006/relationships/hyperlink" Target="https://drive.google.com/file/d/10Bm_ACEtInW9IP7o8oyIymUKFGyvJErD/view?usp=drive_link" TargetMode="External"/><Relationship Id="rId51" Type="http://schemas.openxmlformats.org/officeDocument/2006/relationships/hyperlink" Target="https://drive.google.com/file/d/12nwCh5RCg_i-D4YjOvzO-2qf7OGt62N9/view?usp=drive_link" TargetMode="External"/><Relationship Id="rId50" Type="http://schemas.openxmlformats.org/officeDocument/2006/relationships/hyperlink" Target="https://drive.google.com/file/d/1EB79Pl5ambsyB1nZJCYXPpKBIAaY9j_G/view?usp=drive_link" TargetMode="External"/><Relationship Id="rId53" Type="http://schemas.openxmlformats.org/officeDocument/2006/relationships/hyperlink" Target="https://drive.google.com/file/d/1X5jpWCj3zcY826cvMXqdz6DnlrLz33hW/view?usp=drive_link" TargetMode="External"/><Relationship Id="rId52" Type="http://schemas.openxmlformats.org/officeDocument/2006/relationships/hyperlink" Target="https://drive.google.com/file/d/1hLh6Fsmufcj7-aAQmd0pezJ3rmDh74Rl/view?usp=drive_link" TargetMode="External"/><Relationship Id="rId55" Type="http://schemas.openxmlformats.org/officeDocument/2006/relationships/hyperlink" Target="https://drive.google.com/file/d/1uDyG7_w5c8ibRNdoQPEeJQHAhBg68z1s/view?usp=drive_link" TargetMode="External"/><Relationship Id="rId161" Type="http://schemas.openxmlformats.org/officeDocument/2006/relationships/hyperlink" Target="https://drive.google.com/file/d/1IAWdtvi_kLkW8Eyq7Ec3qe8Y8yt23dKC/view?usp=drive_link" TargetMode="External"/><Relationship Id="rId54" Type="http://schemas.openxmlformats.org/officeDocument/2006/relationships/hyperlink" Target="https://drive.google.com/file/d/1STxmdf-BcmA-jc34kq7YqZAcB8yd8Mxj/view?usp=drive_link" TargetMode="External"/><Relationship Id="rId160" Type="http://schemas.openxmlformats.org/officeDocument/2006/relationships/hyperlink" Target="https://drive.google.com/file/d/13Mkg8ihhd0rbO2qCKNCojtuygq4Fgx2w/view?usp=drive_link" TargetMode="External"/><Relationship Id="rId57" Type="http://schemas.openxmlformats.org/officeDocument/2006/relationships/hyperlink" Target="https://drive.google.com/file/d/1iojjChVEG5UUsgKO0spUAFgFi5I3HFyJ/view?usp=drive_link" TargetMode="External"/><Relationship Id="rId56" Type="http://schemas.openxmlformats.org/officeDocument/2006/relationships/hyperlink" Target="https://drive.google.com/file/d/1E0M2_J0iRdNPUDTqqgRvHLBrJuCE2pyM/view?usp=drive_link" TargetMode="External"/><Relationship Id="rId159" Type="http://schemas.openxmlformats.org/officeDocument/2006/relationships/hyperlink" Target="https://drive.google.com/file/d/1YTn7ymLWuwglsfxIxHAr9aE3Ge3p7FjS/view?usp=drive_link" TargetMode="External"/><Relationship Id="rId59" Type="http://schemas.openxmlformats.org/officeDocument/2006/relationships/hyperlink" Target="https://drive.google.com/file/d/1K-x6U1R5TwcfGZmJpT4Jfq0TwSitK0yW/view?usp=drive_link" TargetMode="External"/><Relationship Id="rId154" Type="http://schemas.openxmlformats.org/officeDocument/2006/relationships/hyperlink" Target="https://drive.google.com/file/d/1kWtxt6RjmeHCHl7-Gv_fLlhJbSH8jPjF/view?usp=drive_link" TargetMode="External"/><Relationship Id="rId58" Type="http://schemas.openxmlformats.org/officeDocument/2006/relationships/hyperlink" Target="https://drive.google.com/file/d/19nBuD_j1nyWqEMKloMignQPW-Aty4rSx/view?usp=drive_link" TargetMode="External"/><Relationship Id="rId153" Type="http://schemas.openxmlformats.org/officeDocument/2006/relationships/hyperlink" Target="https://drive.google.com/file/d/15wwHiLP9d3w8xx41KBH7qCN5FmvLq62u/view?usp=drive_link" TargetMode="External"/><Relationship Id="rId152" Type="http://schemas.openxmlformats.org/officeDocument/2006/relationships/hyperlink" Target="https://drive.google.com/file/d/1jsglTAiKNoWlU3JBHE6Hx-YqUfHBWskT/view?usp=drive_link" TargetMode="External"/><Relationship Id="rId151" Type="http://schemas.openxmlformats.org/officeDocument/2006/relationships/hyperlink" Target="https://drive.google.com/file/d/10zyYH8mC-qoUrVI-zqqmyhlHwFuTmbUT/view?usp=drive_link" TargetMode="External"/><Relationship Id="rId158" Type="http://schemas.openxmlformats.org/officeDocument/2006/relationships/hyperlink" Target="https://drive.google.com/file/d/1iJ4soSHnnmVHz8kuQeMBM2qzJ62i0BNv/view?usp=drive_link" TargetMode="External"/><Relationship Id="rId157" Type="http://schemas.openxmlformats.org/officeDocument/2006/relationships/hyperlink" Target="https://drive.google.com/file/d/1WtVn0SYC_Hk4gHb_NSzTJq7N4y7g-6l-/view?usp=drive_link" TargetMode="External"/><Relationship Id="rId156" Type="http://schemas.openxmlformats.org/officeDocument/2006/relationships/hyperlink" Target="https://drive.google.com/file/d/1Ig1Ifx9HsUcd2nPQZXqTwVhg4CQE76QR/view?usp=drive_link" TargetMode="External"/><Relationship Id="rId155" Type="http://schemas.openxmlformats.org/officeDocument/2006/relationships/hyperlink" Target="https://drive.google.com/file/d/1TP-I2a6YvhGosynrW8lN5GyU32Njun4m/view?usp=drive_link" TargetMode="External"/><Relationship Id="rId107" Type="http://schemas.openxmlformats.org/officeDocument/2006/relationships/hyperlink" Target="https://drive.google.com/file/d/1DM0zCwYIV0R3Bt_Kv7-YFT7uyv1kWYAU/view?usp=drive_link" TargetMode="External"/><Relationship Id="rId106" Type="http://schemas.openxmlformats.org/officeDocument/2006/relationships/hyperlink" Target="https://drive.google.com/file/d/1Jq7F2-34qwnN2FeqM_iV8y22vXE0M1Tp/view?usp=drive_link" TargetMode="External"/><Relationship Id="rId105" Type="http://schemas.openxmlformats.org/officeDocument/2006/relationships/hyperlink" Target="https://drive.google.com/file/d/1YM6A7EFdJoqRqMNXjauDJ6IWm6aFm8At/view?usp=drive_link" TargetMode="External"/><Relationship Id="rId104" Type="http://schemas.openxmlformats.org/officeDocument/2006/relationships/hyperlink" Target="https://drive.google.com/file/d/146JgxLj3i8xHlW4eRl3JmaQyybVITos4/view?usp=drive_link" TargetMode="External"/><Relationship Id="rId109" Type="http://schemas.openxmlformats.org/officeDocument/2006/relationships/hyperlink" Target="https://drive.google.com/file/d/1VB3-VBZktnj08gQ7c_6ef1yKEZeT-S_9/view?usp=drive_link" TargetMode="External"/><Relationship Id="rId108" Type="http://schemas.openxmlformats.org/officeDocument/2006/relationships/hyperlink" Target="https://drive.google.com/file/d/1sJy7PlLAnJNwsMfl1Kd8a1wIMc4bq54x/view?usp=drive_link" TargetMode="External"/><Relationship Id="rId103" Type="http://schemas.openxmlformats.org/officeDocument/2006/relationships/hyperlink" Target="https://drive.google.com/file/d/1IEYNl38ZOXO8UPp1ntPdTskgjHcpdo_P/view?usp=drive_link" TargetMode="External"/><Relationship Id="rId102" Type="http://schemas.openxmlformats.org/officeDocument/2006/relationships/hyperlink" Target="https://drive.google.com/file/d/1GOdNRy5ja5LWORUqYvc9XlLqUm8wpWa4/view?usp=drive_link" TargetMode="External"/><Relationship Id="rId101" Type="http://schemas.openxmlformats.org/officeDocument/2006/relationships/hyperlink" Target="https://drive.google.com/file/d/17sy9abe36MDr7xTISqJzGI1tN1YSQAbY/view?usp=drive_link" TargetMode="External"/><Relationship Id="rId100" Type="http://schemas.openxmlformats.org/officeDocument/2006/relationships/hyperlink" Target="https://drive.google.com/file/d/1pspQVmiWUDkcfoChhch7sQmYIp3M9eyQ/view?usp=drive_link" TargetMode="External"/><Relationship Id="rId213" Type="http://schemas.openxmlformats.org/officeDocument/2006/relationships/drawing" Target="../drawings/drawing2.xml"/><Relationship Id="rId212" Type="http://schemas.openxmlformats.org/officeDocument/2006/relationships/hyperlink" Target="https://drive.google.com/file/d/1ivfaiYa-nRxHxzIrRLuZMDhY8--FyEHc/view?usp=drive_link" TargetMode="External"/><Relationship Id="rId211" Type="http://schemas.openxmlformats.org/officeDocument/2006/relationships/hyperlink" Target="https://drive.google.com/file/d/1SbQTHXJsGaTTo4sCosQcpq3-Km2th5Xz/view?usp=drive_link" TargetMode="External"/><Relationship Id="rId210" Type="http://schemas.openxmlformats.org/officeDocument/2006/relationships/hyperlink" Target="https://drive.google.com/file/d/1FBjhrQlbmkUBmYGRgqQPI5dIsAxHWMEU/view?usp=drive_link" TargetMode="External"/><Relationship Id="rId129" Type="http://schemas.openxmlformats.org/officeDocument/2006/relationships/hyperlink" Target="https://drive.google.com/file/d/1b7-IHi6GRiXgIgrmZ-qMb8vBsJLrbZqQ/view?usp=drive_link" TargetMode="External"/><Relationship Id="rId128" Type="http://schemas.openxmlformats.org/officeDocument/2006/relationships/hyperlink" Target="https://drive.google.com/file/d/1pyhrp4xILU1sgntUVFNNqO0vLddGUnLZ/view?usp=drive_link" TargetMode="External"/><Relationship Id="rId127" Type="http://schemas.openxmlformats.org/officeDocument/2006/relationships/hyperlink" Target="https://drive.google.com/file/d/16c9kYK_ONzW09PVSGo8YlCfbgNlb0ajO/view?usp=drive_link" TargetMode="External"/><Relationship Id="rId126" Type="http://schemas.openxmlformats.org/officeDocument/2006/relationships/hyperlink" Target="https://drive.google.com/file/d/10WGK5eWZ1p2fog3egNegtdM08Zv05-FE/view?usp=drive_link" TargetMode="External"/><Relationship Id="rId121" Type="http://schemas.openxmlformats.org/officeDocument/2006/relationships/hyperlink" Target="https://drive.google.com/file/d/1YtX2_keh_1Zbkn1vDJYe-7Be3T06hehR/view?usp=drive_link" TargetMode="External"/><Relationship Id="rId120" Type="http://schemas.openxmlformats.org/officeDocument/2006/relationships/hyperlink" Target="https://drive.google.com/file/d/1y6IzDYs98FoTT5N7_yaFospC2E7J5Bef/view?usp=drive_link" TargetMode="External"/><Relationship Id="rId125" Type="http://schemas.openxmlformats.org/officeDocument/2006/relationships/hyperlink" Target="https://drive.google.com/file/d/1fpGP8NMLbIv5MoQNiTidzyaJ-iXJxefj/view?usp=drive_link" TargetMode="External"/><Relationship Id="rId124" Type="http://schemas.openxmlformats.org/officeDocument/2006/relationships/hyperlink" Target="https://drive.google.com/file/d/1bvvxwOBiLINeGD0UY48aWXne-hF7oecl/view?usp=drive_link" TargetMode="External"/><Relationship Id="rId123" Type="http://schemas.openxmlformats.org/officeDocument/2006/relationships/hyperlink" Target="https://drive.google.com/file/d/1JZ2jacBZoFP1sqJTJCqQe49VEERlSyag/view?usp=drive_link" TargetMode="External"/><Relationship Id="rId122" Type="http://schemas.openxmlformats.org/officeDocument/2006/relationships/hyperlink" Target="https://drive.google.com/file/d/1PqCrJkLIrRJBSU5XuyiwhtHwvU1Aea4C/view?usp=drive_link" TargetMode="External"/><Relationship Id="rId95" Type="http://schemas.openxmlformats.org/officeDocument/2006/relationships/hyperlink" Target="https://drive.google.com/file/d/1zJXrHqinjWSEcvOf8zNYhXvFFGC49Tbg/view?usp=drive_link" TargetMode="External"/><Relationship Id="rId94" Type="http://schemas.openxmlformats.org/officeDocument/2006/relationships/hyperlink" Target="https://drive.google.com/file/d/1o3Ed9-K_1SCfG8JtK5rVF9pKfS5ulK_9/view?usp=drive_link" TargetMode="External"/><Relationship Id="rId97" Type="http://schemas.openxmlformats.org/officeDocument/2006/relationships/hyperlink" Target="https://drive.google.com/file/d/108mRn_DjQym2jkd_qHJW1RqFFs_b6tK4/view?usp=drive_link" TargetMode="External"/><Relationship Id="rId96" Type="http://schemas.openxmlformats.org/officeDocument/2006/relationships/hyperlink" Target="https://drive.google.com/file/d/1SykO3UOgIy_yHnUWErzxMIF6pkqz2nDo/view?usp=drive_link" TargetMode="External"/><Relationship Id="rId99" Type="http://schemas.openxmlformats.org/officeDocument/2006/relationships/hyperlink" Target="https://drive.google.com/file/d/1k3noqaRRNiEJzbucYArWXveYmcbr9827/view?usp=drive_link" TargetMode="External"/><Relationship Id="rId98" Type="http://schemas.openxmlformats.org/officeDocument/2006/relationships/hyperlink" Target="https://drive.google.com/file/d/1gkKfwUJbsXBK3_mp3LCn59gMzC4Dj8tB/view?usp=drive_link" TargetMode="External"/><Relationship Id="rId91" Type="http://schemas.openxmlformats.org/officeDocument/2006/relationships/hyperlink" Target="https://drive.google.com/file/d/1EnZB5poU8a1wIv5NwVGoo89Bsa1HnntY/view?usp=drive_link" TargetMode="External"/><Relationship Id="rId90" Type="http://schemas.openxmlformats.org/officeDocument/2006/relationships/hyperlink" Target="https://drive.google.com/file/d/1O1SrpWkapHoT-mG-ktdb0t-3fMnNt5TV/view?usp=drive_link" TargetMode="External"/><Relationship Id="rId93" Type="http://schemas.openxmlformats.org/officeDocument/2006/relationships/hyperlink" Target="https://drive.google.com/file/d/13mJNxfsg7aWfeSgzLTH6n5EAsdoCwtBK/view?usp=drive_link" TargetMode="External"/><Relationship Id="rId92" Type="http://schemas.openxmlformats.org/officeDocument/2006/relationships/hyperlink" Target="https://drive.google.com/file/d/1fw7PAjSn-T8rZdkousKFZUZ0h6vjk8Br/view?usp=drive_link" TargetMode="External"/><Relationship Id="rId118" Type="http://schemas.openxmlformats.org/officeDocument/2006/relationships/hyperlink" Target="https://drive.google.com/file/d/1kGJcTFs8HPRoJsrRQXeDA7yxvBd-2TI3/view?usp=drive_link" TargetMode="External"/><Relationship Id="rId117" Type="http://schemas.openxmlformats.org/officeDocument/2006/relationships/hyperlink" Target="https://drive.google.com/file/d/1pk9eq3TpwTRBdoansEgXgWBLVtz9fap1/view?usp=drive_link" TargetMode="External"/><Relationship Id="rId116" Type="http://schemas.openxmlformats.org/officeDocument/2006/relationships/hyperlink" Target="https://drive.google.com/file/d/1R02VnJlKjzqwl6GefKg2Jmk3rqxX1fwK/view?usp=drive_link" TargetMode="External"/><Relationship Id="rId115" Type="http://schemas.openxmlformats.org/officeDocument/2006/relationships/hyperlink" Target="https://drive.google.com/file/d/1NGChOwZmkw6M3zQYWxhRxkoSOGhGuM7G/view?usp=drive_link" TargetMode="External"/><Relationship Id="rId119" Type="http://schemas.openxmlformats.org/officeDocument/2006/relationships/hyperlink" Target="https://drive.google.com/file/d/1E58EEU4ZjNrKeiWa9psA_gtRxoFxxcQv/view?usp=drive_link" TargetMode="External"/><Relationship Id="rId110" Type="http://schemas.openxmlformats.org/officeDocument/2006/relationships/hyperlink" Target="https://drive.google.com/file/d/1SAYmndMIku8qN6RzKf2NVKxHuVARCU3i/view?usp=drive_link" TargetMode="External"/><Relationship Id="rId114" Type="http://schemas.openxmlformats.org/officeDocument/2006/relationships/hyperlink" Target="https://drive.google.com/file/d/15DI_6pjmbDUy3RrRMk_OZWAdqda4Ksu0/view?usp=drive_link" TargetMode="External"/><Relationship Id="rId113" Type="http://schemas.openxmlformats.org/officeDocument/2006/relationships/hyperlink" Target="https://drive.google.com/file/d/12FmZmUtnhoS8XGay9mYTVtYCNIvVWO6_/view?usp=drive_link" TargetMode="External"/><Relationship Id="rId112" Type="http://schemas.openxmlformats.org/officeDocument/2006/relationships/hyperlink" Target="https://drive.google.com/file/d/1cGxcu6RzQ4jhuxPfW-YL06Q4wx_viFKz/view?usp=drive_link" TargetMode="External"/><Relationship Id="rId111" Type="http://schemas.openxmlformats.org/officeDocument/2006/relationships/hyperlink" Target="https://drive.google.com/file/d/1hrqnW6nRRtWwxYg5Ce1YsEQJkRY5tF6B/view?usp=drive_link" TargetMode="External"/><Relationship Id="rId206" Type="http://schemas.openxmlformats.org/officeDocument/2006/relationships/hyperlink" Target="https://drive.google.com/file/d/1wgGhqBQUvLEBAMiFJ2n5hLwnBAAd8Sdw/view?usp=drive_link" TargetMode="External"/><Relationship Id="rId205" Type="http://schemas.openxmlformats.org/officeDocument/2006/relationships/hyperlink" Target="https://drive.google.com/file/d/1Y71bzudHc37b2ZP5IPRnDTzh8-__LsC1/view?usp=drive_link" TargetMode="External"/><Relationship Id="rId204" Type="http://schemas.openxmlformats.org/officeDocument/2006/relationships/hyperlink" Target="https://drive.google.com/file/d/1qdOFX96jQ8_W6EiLI8yvKs4w9qruji22/view?usp=drive_link" TargetMode="External"/><Relationship Id="rId203" Type="http://schemas.openxmlformats.org/officeDocument/2006/relationships/hyperlink" Target="https://drive.google.com/file/d/1q4a7uAm-IwBR1YEqABFg0Ker02BtlAgP/view?usp=drive_link" TargetMode="External"/><Relationship Id="rId209" Type="http://schemas.openxmlformats.org/officeDocument/2006/relationships/hyperlink" Target="https://drive.google.com/file/d/1JBldlix_mk1LMImWbccPcE9hSpP6eYO4/view?usp=drive_link" TargetMode="External"/><Relationship Id="rId208" Type="http://schemas.openxmlformats.org/officeDocument/2006/relationships/hyperlink" Target="https://drive.google.com/file/d/1IFqhGEAC4eLEZ0j1OafrSVXZ-9UvOYyk/view?usp=drive_link" TargetMode="External"/><Relationship Id="rId207" Type="http://schemas.openxmlformats.org/officeDocument/2006/relationships/hyperlink" Target="https://drive.google.com/file/d/1cCM0-J-lBIq-QMe6aim4BmIp_qKpYEJA/view?usp=drive_link" TargetMode="External"/><Relationship Id="rId202" Type="http://schemas.openxmlformats.org/officeDocument/2006/relationships/hyperlink" Target="https://drive.google.com/file/d/1E6tjcXSPTvPzIjvSfRyCPXpnyH_mqOQd/view?usp=drive_link" TargetMode="External"/><Relationship Id="rId201" Type="http://schemas.openxmlformats.org/officeDocument/2006/relationships/hyperlink" Target="https://drive.google.com/file/d/15dMTBCm7gP8tZCRfLbso1S12CmT6OVq_/view?usp=drive_link" TargetMode="External"/><Relationship Id="rId200" Type="http://schemas.openxmlformats.org/officeDocument/2006/relationships/hyperlink" Target="https://drive.google.com/file/d/1CI8cvizkLPCMAnk7KDMnpk7QxoJEZXWM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6.5"/>
    <col customWidth="1" min="3" max="3" width="28.38"/>
    <col customWidth="1" min="4" max="4" width="17.25"/>
    <col customWidth="1" min="5" max="5" width="25.25"/>
    <col customWidth="1" min="6" max="6" width="17.5"/>
    <col customWidth="1" min="7" max="7" width="20.63"/>
    <col hidden="1" min="8" max="8" width="12.63"/>
  </cols>
  <sheetData>
    <row r="1" hidden="1">
      <c r="A1" s="1" t="str">
        <f>left(A13,2)</f>
        <v>綠色</v>
      </c>
      <c r="C1" s="1" t="str">
        <f>left(C13,2)</f>
        <v/>
      </c>
      <c r="E1" s="1" t="str">
        <f>left(E13,2)</f>
        <v/>
      </c>
    </row>
    <row r="2">
      <c r="H2" s="1" t="str">
        <f>IFERROR(__xludf.DUMMYFUNCTION("IF(B3="""", '寶可夢喜好表'!B2:B330, FILTER('寶可夢喜好表'!B2:B330, ISNUMBER(SEARCH(B3, '寶可夢喜好表'!B2:B330))))"),"小火龍")</f>
        <v>小火龍</v>
      </c>
      <c r="I2" s="2">
        <v>2.0160321E7</v>
      </c>
    </row>
    <row r="3">
      <c r="A3" s="3" t="s">
        <v>0</v>
      </c>
      <c r="B3" s="4" t="s">
        <v>1</v>
      </c>
      <c r="H3" s="1" t="str">
        <f>IFERROR(__xludf.DUMMYFUNCTION("""COMPUTED_VALUE"""),"火恐龍")</f>
        <v>火恐龍</v>
      </c>
    </row>
    <row r="4">
      <c r="A4" s="5" t="s">
        <v>2</v>
      </c>
      <c r="B4" s="6" t="s">
        <v>3</v>
      </c>
      <c r="H4" s="1" t="str">
        <f>IFERROR(__xludf.DUMMYFUNCTION("""COMPUTED_VALUE"""),"噴火龍")</f>
        <v>噴火龍</v>
      </c>
    </row>
    <row r="5">
      <c r="A5" s="7"/>
      <c r="B5" s="7"/>
      <c r="H5" s="1" t="str">
        <f>IFERROR(__xludf.DUMMYFUNCTION("""COMPUTED_VALUE"""),"燈火幽靈")</f>
        <v>燈火幽靈</v>
      </c>
    </row>
    <row r="6">
      <c r="A6" s="8" t="s">
        <v>4</v>
      </c>
      <c r="B6" s="9" t="s">
        <v>5</v>
      </c>
      <c r="C6" s="10" t="s">
        <v>6</v>
      </c>
      <c r="D6" s="11" t="s">
        <v>7</v>
      </c>
      <c r="H6" s="1" t="str">
        <f>IFERROR(__xludf.DUMMYFUNCTION("""COMPUTED_VALUE"""),"水晶燈火靈")</f>
        <v>水晶燈火靈</v>
      </c>
    </row>
    <row r="7" ht="34.5" customHeight="1">
      <c r="A7" s="12" t="str">
        <f t="array" ref="A7">XLOOKUP(B4, '寶可夢喜好表'!B:B, '寶可夢喜好表'!C:C, "尚無專長資料")</f>
        <v>點火</v>
      </c>
      <c r="B7" s="13" t="str">
        <f t="array" ref="B7">XLOOKUP(B4, '寶可夢喜好表'!B:B, '寶可夢喜好表'!E:E, "尚無棲息地資料")</f>
        <v>溫暖</v>
      </c>
      <c r="C7" s="14" t="str">
        <f t="array" ref="C7">XLOOKUP(B4, '寶可夢喜好表'!B:B, '寶可夢喜好表'!F:F, "尚無棲息地資料")</f>
        <v>感受火焰、木製、堅硬、訓練、大家一起用</v>
      </c>
      <c r="D7" s="15" t="str">
        <f t="array" ref="D7">XLOOKUP(B4, '寶可夢喜好表'!B:B, '寶可夢喜好表'!G:G, "尚無棲息地資料")</f>
        <v>辣 (紅蘿蔔)</v>
      </c>
      <c r="H7" s="1" t="str">
        <f>IFERROR(__xludf.DUMMYFUNCTION("""COMPUTED_VALUE"""),"火雉雞")</f>
        <v>火雉雞</v>
      </c>
    </row>
    <row r="8">
      <c r="A8" s="7"/>
      <c r="H8" s="1" t="str">
        <f>IFERROR(__xludf.DUMMYFUNCTION("""COMPUTED_VALUE"""),"火焰雞")</f>
        <v>火焰雞</v>
      </c>
    </row>
    <row r="9">
      <c r="A9" s="16" t="s">
        <v>8</v>
      </c>
      <c r="H9" s="1" t="str">
        <f>IFERROR(__xludf.DUMMYFUNCTION("""COMPUTED_VALUE"""),"鴨嘴火獸")</f>
        <v>鴨嘴火獸</v>
      </c>
    </row>
    <row r="10">
      <c r="A10" s="17" t="str">
        <f t="array" ref="A10">XLOOKUP(B4, '寶可夢喜好表'!B:B, '寶可夢喜好表'!D:D, "尚無棲息地資料")</f>
        <v/>
      </c>
      <c r="H10" s="1" t="str">
        <f>IFERROR(__xludf.DUMMYFUNCTION("""COMPUTED_VALUE"""),"火神蛾")</f>
        <v>火神蛾</v>
      </c>
    </row>
    <row r="11">
      <c r="A11" s="7"/>
      <c r="H11" s="1" t="str">
        <f>IFERROR(__xludf.DUMMYFUNCTION("""COMPUTED_VALUE"""),"火球鼠")</f>
        <v>火球鼠</v>
      </c>
    </row>
    <row r="12">
      <c r="A12" s="18" t="s">
        <v>9</v>
      </c>
      <c r="B12" s="19" t="s">
        <v>10</v>
      </c>
      <c r="C12" s="19" t="s">
        <v>11</v>
      </c>
      <c r="D12" s="19" t="s">
        <v>10</v>
      </c>
      <c r="E12" s="19" t="s">
        <v>12</v>
      </c>
      <c r="F12" s="20" t="s">
        <v>10</v>
      </c>
      <c r="H12" s="1" t="str">
        <f>IFERROR(__xludf.DUMMYFUNCTION("""COMPUTED_VALUE"""),"火岩鼠")</f>
        <v>火岩鼠</v>
      </c>
    </row>
    <row r="13" ht="90.0" customHeight="1">
      <c r="A13" s="21" t="str">
        <f t="array" ref="A13">XLOOKUP(B4, '寶可夢喜好表'!B:B, '寶可夢喜好表'!H:H, "尚無棲息地資料")</f>
        <v>綠色的草叢 / 綠草 ×4</v>
      </c>
      <c r="B13" s="14" t="str">
        <f t="array" ref="B13">XLOOKUP(B4, '寶可夢喜好表'!B:B, '寶可夢喜好表'!I:I, "尚無棲息地資料")</f>
        <v>妙蛙種子、小火龍、噴火龍、傑尼龜、走路草、小拳石（空空鎮)</v>
      </c>
      <c r="C13" s="14" t="str">
        <f t="array" ref="C13">XLOOKUP(B4, '寶可夢喜好表'!B:B, '寶可夢喜好表'!J:J, "尚無棲息地資料")</f>
        <v/>
      </c>
      <c r="D13" s="14" t="str">
        <f t="array" ref="D13">XLOOKUP(B4, '寶可夢喜好表'!B:B, '寶可夢喜好表'!K:K, "尚無棲息地資料")</f>
        <v/>
      </c>
      <c r="E13" s="14" t="str">
        <f t="array" ref="E13">XLOOKUP(B4, '寶可夢喜好表'!B:B, '寶可夢喜好表'!L:L, "尚無棲息地資料")</f>
        <v/>
      </c>
      <c r="F13" s="22" t="str">
        <f t="array" ref="F13">XLOOKUP(B4, '寶可夢喜好表'!B:B, '寶可夢喜好表'!M:M, "尚無棲息地資料")</f>
        <v/>
      </c>
      <c r="H13" s="1" t="str">
        <f>IFERROR(__xludf.DUMMYFUNCTION("""COMPUTED_VALUE"""),"火爆獸")</f>
        <v>火爆獸</v>
      </c>
    </row>
    <row r="14">
      <c r="A14" s="23" t="str">
        <f t="array" ref="A14">IF(A1="", "", IFERROR(IMAGE(XLOOKUP("*" &amp; TRIM(A1) &amp; "*", '棲息地'!$B:$B, '棲息地'!$F:$F, "找不到圖片", 2), 1), ""))</f>
        <v/>
      </c>
      <c r="C14" s="23" t="str">
        <f t="array" ref="C14">IF(C1="", "", IFERROR(IMAGE(XLOOKUP("*" &amp; TRIM(C1) &amp; "*", '棲息地'!$B:$B, '棲息地'!$F:$F, "找不到圖片", 2), 1), ""))</f>
        <v/>
      </c>
      <c r="E14" s="23" t="str">
        <f t="array" ref="E14">IF(E1="", "", IFERROR(IMAGE(XLOOKUP("*" &amp; TRIM(E1) &amp; "*", '棲息地'!$B:$B, '棲息地'!$F:$F, "找不到圖片", 2), 1), ""))</f>
        <v/>
      </c>
      <c r="G14" s="1" t="str">
        <f>IFERROR(__xludf.DUMMYFUNCTION("IF(A4="""", ""請先在 A3 輸入或選擇專長"", IFERROR(FILTER('寶可夢喜好表'!B:B, '寶可夢喜好表'!C:C=A4), ""查無此專長""))"),"小火龍")</f>
        <v>小火龍</v>
      </c>
      <c r="H14" s="1" t="str">
        <f>IFERROR(__xludf.DUMMYFUNCTION("""COMPUTED_VALUE"""),"火伊布")</f>
        <v>火伊布</v>
      </c>
    </row>
    <row r="15">
      <c r="G15" s="1" t="str">
        <f>IFERROR(__xludf.DUMMYFUNCTION("""COMPUTED_VALUE"""),"火恐龍")</f>
        <v>火恐龍</v>
      </c>
      <c r="H15" s="1" t="str">
        <f>IFERROR(__xludf.DUMMYFUNCTION("""COMPUTED_VALUE"""),"火焰鳥")</f>
        <v>火焰鳥</v>
      </c>
    </row>
    <row r="16">
      <c r="G16" s="1" t="str">
        <f>IFERROR(__xludf.DUMMYFUNCTION("""COMPUTED_VALUE"""),"燭光靈")</f>
        <v>燭光靈</v>
      </c>
    </row>
    <row r="17">
      <c r="G17" s="1" t="str">
        <f>IFERROR(__xludf.DUMMYFUNCTION("""COMPUTED_VALUE"""),"燈火幽靈")</f>
        <v>燈火幽靈</v>
      </c>
    </row>
    <row r="18">
      <c r="G18" s="1" t="str">
        <f>IFERROR(__xludf.DUMMYFUNCTION("""COMPUTED_VALUE"""),"水晶燈火靈")</f>
        <v>水晶燈火靈</v>
      </c>
    </row>
    <row r="19">
      <c r="G19" s="1" t="str">
        <f>IFERROR(__xludf.DUMMYFUNCTION("""COMPUTED_VALUE"""),"火雉雞")</f>
        <v>火雉雞</v>
      </c>
    </row>
    <row r="20">
      <c r="G20" s="1" t="str">
        <f>IFERROR(__xludf.DUMMYFUNCTION("""COMPUTED_VALUE"""),"鴨嘴寶寶")</f>
        <v>鴨嘴寶寶</v>
      </c>
    </row>
    <row r="21">
      <c r="G21" s="1" t="str">
        <f>IFERROR(__xludf.DUMMYFUNCTION("""COMPUTED_VALUE"""),"鴨嘴火獸")</f>
        <v>鴨嘴火獸</v>
      </c>
    </row>
    <row r="22">
      <c r="G22" s="1" t="str">
        <f>IFERROR(__xludf.DUMMYFUNCTION("""COMPUTED_VALUE"""),"煤炭龜")</f>
        <v>煤炭龜</v>
      </c>
    </row>
    <row r="23">
      <c r="G23" s="1" t="str">
        <f>IFERROR(__xludf.DUMMYFUNCTION("""COMPUTED_VALUE"""),"炎兔兒")</f>
        <v>炎兔兒</v>
      </c>
    </row>
    <row r="24">
      <c r="G24" s="1" t="str">
        <f>IFERROR(__xludf.DUMMYFUNCTION("""COMPUTED_VALUE"""),"騰蹴小將")</f>
        <v>騰蹴小將</v>
      </c>
    </row>
    <row r="25">
      <c r="G25" s="1" t="str">
        <f>IFERROR(__xludf.DUMMYFUNCTION("""COMPUTED_VALUE"""),"炭小侍")</f>
        <v>炭小侍</v>
      </c>
    </row>
    <row r="26">
      <c r="G26" s="1" t="str">
        <f>IFERROR(__xludf.DUMMYFUNCTION("""COMPUTED_VALUE"""),"六尾")</f>
        <v>六尾</v>
      </c>
    </row>
    <row r="27">
      <c r="G27" s="1" t="str">
        <f>IFERROR(__xludf.DUMMYFUNCTION("""COMPUTED_VALUE"""),"九尾")</f>
        <v>九尾</v>
      </c>
    </row>
    <row r="28">
      <c r="G28" s="1" t="str">
        <f>IFERROR(__xludf.DUMMYFUNCTION("""COMPUTED_VALUE"""),"火球鼠")</f>
        <v>火球鼠</v>
      </c>
    </row>
    <row r="29">
      <c r="G29" s="1" t="str">
        <f>IFERROR(__xludf.DUMMYFUNCTION("""COMPUTED_VALUE"""),"火岩鼠")</f>
        <v>火岩鼠</v>
      </c>
    </row>
    <row r="30">
      <c r="G30" s="1" t="str">
        <f>IFERROR(__xludf.DUMMYFUNCTION("""COMPUTED_VALUE"""),"火伊布")</f>
        <v>火伊布</v>
      </c>
    </row>
    <row r="31">
      <c r="G31" s="1" t="str">
        <f>IFERROR(__xludf.DUMMYFUNCTION("""COMPUTED_VALUE"""),"炎帝")</f>
        <v>炎帝</v>
      </c>
    </row>
    <row r="32">
      <c r="G32" s="1" t="str">
        <f>IFERROR(__xludf.DUMMYFUNCTION("""COMPUTED_VALUE"""),"波爾凱尼恩")</f>
        <v>波爾凱尼恩</v>
      </c>
    </row>
  </sheetData>
  <mergeCells count="5">
    <mergeCell ref="E6:F7"/>
    <mergeCell ref="B8:F11"/>
    <mergeCell ref="A14:A19"/>
    <mergeCell ref="C14:C19"/>
    <mergeCell ref="E14:E19"/>
  </mergeCells>
  <dataValidations>
    <dataValidation type="list" allowBlank="1" showErrorMessage="1" sqref="B4">
      <formula1>$H$2:$H1005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40.25"/>
    <col customWidth="1" min="4" max="4" width="47.63"/>
    <col hidden="1" min="5" max="6" width="12.63"/>
  </cols>
  <sheetData>
    <row r="1">
      <c r="A1" s="24" t="s">
        <v>13</v>
      </c>
      <c r="B1" s="24" t="s">
        <v>14</v>
      </c>
      <c r="C1" s="24" t="s">
        <v>15</v>
      </c>
      <c r="D1" s="24" t="s">
        <v>16</v>
      </c>
    </row>
    <row r="2">
      <c r="A2" s="25" t="s">
        <v>17</v>
      </c>
      <c r="B2" s="24" t="s">
        <v>18</v>
      </c>
      <c r="C2" s="24" t="s">
        <v>19</v>
      </c>
      <c r="D2" s="24" t="s">
        <v>20</v>
      </c>
      <c r="E2" s="26" t="s">
        <v>21</v>
      </c>
      <c r="F2" s="27" t="str">
        <f>IFERROR(__xludf.DUMMYFUNCTION("IF(E2="""", """", ""https://drive.google.com/uc?export=view&amp;id="" &amp; REGEXEXTRACT(E2, ""/d/(.*)/""))"),"https://drive.google.com/uc?export=view&amp;id=1Zui1QKajr4K54-QnVN11axFwFdXqil_m")</f>
        <v>https://drive.google.com/uc?export=view&amp;id=1Zui1QKajr4K54-QnVN11axFwFdXqil_m</v>
      </c>
    </row>
    <row r="3">
      <c r="A3" s="25" t="s">
        <v>22</v>
      </c>
      <c r="B3" s="24" t="s">
        <v>23</v>
      </c>
      <c r="C3" s="24" t="s">
        <v>24</v>
      </c>
      <c r="D3" s="24" t="s">
        <v>25</v>
      </c>
      <c r="E3" s="28" t="s">
        <v>26</v>
      </c>
      <c r="F3" s="27" t="str">
        <f>IFERROR(__xludf.DUMMYFUNCTION("IF(E3="""", """", ""https://drive.google.com/uc?export=view&amp;id="" &amp; REGEXEXTRACT(E3, ""/d/(.*)/""))"),"https://drive.google.com/uc?export=view&amp;id=19CrdN30HGmpE_sHBpHI0ykoC1Xzs3nFL")</f>
        <v>https://drive.google.com/uc?export=view&amp;id=19CrdN30HGmpE_sHBpHI0ykoC1Xzs3nFL</v>
      </c>
    </row>
    <row r="4">
      <c r="A4" s="25" t="s">
        <v>27</v>
      </c>
      <c r="B4" s="24" t="s">
        <v>28</v>
      </c>
      <c r="C4" s="24" t="s">
        <v>29</v>
      </c>
      <c r="D4" s="24" t="s">
        <v>30</v>
      </c>
      <c r="E4" s="28" t="s">
        <v>31</v>
      </c>
      <c r="F4" s="27" t="str">
        <f>IFERROR(__xludf.DUMMYFUNCTION("IF(E4="""", """", ""https://drive.google.com/uc?export=view&amp;id="" &amp; REGEXEXTRACT(E4, ""/d/(.*)/""))"),"https://drive.google.com/uc?export=view&amp;id=1ELHxpsZlcq5M83YhnRXD5C6FIN78pF-b")</f>
        <v>https://drive.google.com/uc?export=view&amp;id=1ELHxpsZlcq5M83YhnRXD5C6FIN78pF-b</v>
      </c>
    </row>
    <row r="5">
      <c r="A5" s="25" t="s">
        <v>32</v>
      </c>
      <c r="B5" s="24" t="s">
        <v>33</v>
      </c>
      <c r="C5" s="24" t="s">
        <v>34</v>
      </c>
      <c r="D5" s="24" t="s">
        <v>35</v>
      </c>
      <c r="E5" s="28" t="s">
        <v>36</v>
      </c>
      <c r="F5" s="27" t="str">
        <f>IFERROR(__xludf.DUMMYFUNCTION("IF(E5="""", """", ""https://drive.google.com/uc?export=view&amp;id="" &amp; REGEXEXTRACT(E5, ""/d/(.*)/""))"),"https://drive.google.com/uc?export=view&amp;id=1fwTkKzuuQxM9eaQ9Ln-6BPQEbC_bwkjJ")</f>
        <v>https://drive.google.com/uc?export=view&amp;id=1fwTkKzuuQxM9eaQ9Ln-6BPQEbC_bwkjJ</v>
      </c>
    </row>
    <row r="6">
      <c r="A6" s="25" t="s">
        <v>37</v>
      </c>
      <c r="B6" s="24" t="s">
        <v>38</v>
      </c>
      <c r="C6" s="24" t="s">
        <v>39</v>
      </c>
      <c r="D6" s="24" t="s">
        <v>40</v>
      </c>
      <c r="E6" s="28" t="s">
        <v>41</v>
      </c>
      <c r="F6" s="27" t="str">
        <f>IFERROR(__xludf.DUMMYFUNCTION("IF(E6="""", """", ""https://drive.google.com/uc?export=view&amp;id="" &amp; REGEXEXTRACT(E6, ""/d/(.*)/""))"),"https://drive.google.com/uc?export=view&amp;id=1zKMMiq7r3vrF5UvmbZPtVtD_dfDYdUP3")</f>
        <v>https://drive.google.com/uc?export=view&amp;id=1zKMMiq7r3vrF5UvmbZPtVtD_dfDYdUP3</v>
      </c>
    </row>
    <row r="7">
      <c r="A7" s="25" t="s">
        <v>42</v>
      </c>
      <c r="B7" s="24" t="s">
        <v>43</v>
      </c>
      <c r="C7" s="24" t="s">
        <v>44</v>
      </c>
      <c r="D7" s="24" t="s">
        <v>45</v>
      </c>
      <c r="E7" s="28" t="s">
        <v>46</v>
      </c>
      <c r="F7" s="27" t="str">
        <f>IFERROR(__xludf.DUMMYFUNCTION("IF(E7="""", """", ""https://drive.google.com/uc?export=view&amp;id="" &amp; REGEXEXTRACT(E7, ""/d/(.*)/""))"),"https://drive.google.com/uc?export=view&amp;id=1Z5rKeD-bOwEO2zJCMhi8LMhShYWp-Ddb")</f>
        <v>https://drive.google.com/uc?export=view&amp;id=1Z5rKeD-bOwEO2zJCMhi8LMhShYWp-Ddb</v>
      </c>
    </row>
    <row r="8">
      <c r="A8" s="25" t="s">
        <v>47</v>
      </c>
      <c r="B8" s="24" t="s">
        <v>48</v>
      </c>
      <c r="C8" s="24" t="s">
        <v>49</v>
      </c>
      <c r="D8" s="24" t="s">
        <v>50</v>
      </c>
      <c r="E8" s="28" t="s">
        <v>51</v>
      </c>
      <c r="F8" s="27" t="str">
        <f>IFERROR(__xludf.DUMMYFUNCTION("IF(E8="""", """", ""https://drive.google.com/uc?export=view&amp;id="" &amp; REGEXEXTRACT(E8, ""/d/(.*)/""))"),"https://drive.google.com/uc?export=view&amp;id=1t8xnCYn4TFB4oYGXSu-SqsGqdBDu9QAV")</f>
        <v>https://drive.google.com/uc?export=view&amp;id=1t8xnCYn4TFB4oYGXSu-SqsGqdBDu9QAV</v>
      </c>
    </row>
    <row r="9">
      <c r="A9" s="25" t="s">
        <v>52</v>
      </c>
      <c r="B9" s="24" t="s">
        <v>53</v>
      </c>
      <c r="C9" s="24" t="s">
        <v>54</v>
      </c>
      <c r="D9" s="24" t="s">
        <v>55</v>
      </c>
      <c r="E9" s="28" t="s">
        <v>56</v>
      </c>
      <c r="F9" s="27" t="str">
        <f>IFERROR(__xludf.DUMMYFUNCTION("IF(E9="""", """", ""https://drive.google.com/uc?export=view&amp;id="" &amp; REGEXEXTRACT(E9, ""/d/(.*)/""))"),"https://drive.google.com/uc?export=view&amp;id=1fZ5xoeCppudNCNreKNTA1N9jUYmH0NvG")</f>
        <v>https://drive.google.com/uc?export=view&amp;id=1fZ5xoeCppudNCNreKNTA1N9jUYmH0NvG</v>
      </c>
    </row>
    <row r="10">
      <c r="A10" s="25" t="s">
        <v>57</v>
      </c>
      <c r="B10" s="24" t="s">
        <v>58</v>
      </c>
      <c r="C10" s="24" t="s">
        <v>54</v>
      </c>
      <c r="D10" s="24" t="s">
        <v>59</v>
      </c>
      <c r="E10" s="28" t="s">
        <v>60</v>
      </c>
      <c r="F10" s="27" t="str">
        <f>IFERROR(__xludf.DUMMYFUNCTION("IF(E10="""", """", ""https://drive.google.com/uc?export=view&amp;id="" &amp; REGEXEXTRACT(E10, ""/d/(.*)/""))"),"https://drive.google.com/uc?export=view&amp;id=1Pa_OwADXdwfpOXBTrfLWXVTRGQROALa4")</f>
        <v>https://drive.google.com/uc?export=view&amp;id=1Pa_OwADXdwfpOXBTrfLWXVTRGQROALa4</v>
      </c>
    </row>
    <row r="11">
      <c r="A11" s="25" t="s">
        <v>61</v>
      </c>
      <c r="B11" s="24" t="s">
        <v>62</v>
      </c>
      <c r="C11" s="24" t="s">
        <v>63</v>
      </c>
      <c r="D11" s="24" t="s">
        <v>64</v>
      </c>
      <c r="E11" s="28" t="s">
        <v>65</v>
      </c>
      <c r="F11" s="27" t="str">
        <f>IFERROR(__xludf.DUMMYFUNCTION("IF(E11="""", """", ""https://drive.google.com/uc?export=view&amp;id="" &amp; REGEXEXTRACT(E11, ""/d/(.*)/""))"),"https://drive.google.com/uc?export=view&amp;id=13GWQEZZL6FlM4c33is_47k5pEQD6fHjB")</f>
        <v>https://drive.google.com/uc?export=view&amp;id=13GWQEZZL6FlM4c33is_47k5pEQD6fHjB</v>
      </c>
    </row>
    <row r="12">
      <c r="A12" s="25" t="s">
        <v>66</v>
      </c>
      <c r="B12" s="24" t="s">
        <v>67</v>
      </c>
      <c r="C12" s="24" t="s">
        <v>68</v>
      </c>
      <c r="D12" s="24" t="s">
        <v>69</v>
      </c>
      <c r="E12" s="28" t="s">
        <v>70</v>
      </c>
      <c r="F12" s="27" t="str">
        <f>IFERROR(__xludf.DUMMYFUNCTION("IF(E12="""", """", ""https://drive.google.com/uc?export=view&amp;id="" &amp; REGEXEXTRACT(E12, ""/d/(.*)/""))"),"https://drive.google.com/uc?export=view&amp;id=1fBC42KzrWPHrGrKZSlsuPGUcffl2FbPM")</f>
        <v>https://drive.google.com/uc?export=view&amp;id=1fBC42KzrWPHrGrKZSlsuPGUcffl2FbPM</v>
      </c>
    </row>
    <row r="13">
      <c r="A13" s="25" t="s">
        <v>71</v>
      </c>
      <c r="B13" s="24" t="s">
        <v>72</v>
      </c>
      <c r="C13" s="24" t="s">
        <v>73</v>
      </c>
      <c r="D13" s="24" t="s">
        <v>74</v>
      </c>
      <c r="E13" s="28" t="s">
        <v>75</v>
      </c>
      <c r="F13" s="27" t="str">
        <f>IFERROR(__xludf.DUMMYFUNCTION("IF(E13="""", """", ""https://drive.google.com/uc?export=view&amp;id="" &amp; REGEXEXTRACT(E13, ""/d/(.*)/""))"),"https://drive.google.com/uc?export=view&amp;id=1kb9nrzFjrr2IPcq4ATBQQOUw6vaTpFJ7")</f>
        <v>https://drive.google.com/uc?export=view&amp;id=1kb9nrzFjrr2IPcq4ATBQQOUw6vaTpFJ7</v>
      </c>
    </row>
    <row r="14">
      <c r="A14" s="25" t="s">
        <v>76</v>
      </c>
      <c r="B14" s="24" t="s">
        <v>77</v>
      </c>
      <c r="C14" s="24" t="s">
        <v>78</v>
      </c>
      <c r="D14" s="24" t="s">
        <v>79</v>
      </c>
      <c r="E14" s="28" t="s">
        <v>80</v>
      </c>
      <c r="F14" s="27" t="str">
        <f>IFERROR(__xludf.DUMMYFUNCTION("IF(E14="""", """", ""https://drive.google.com/uc?export=view&amp;id="" &amp; REGEXEXTRACT(E14, ""/d/(.*)/""))"),"https://drive.google.com/uc?export=view&amp;id=14MtBLuKH364jLo-v3egXmfdVfeh5Nhz9")</f>
        <v>https://drive.google.com/uc?export=view&amp;id=14MtBLuKH364jLo-v3egXmfdVfeh5Nhz9</v>
      </c>
    </row>
    <row r="15">
      <c r="A15" s="25" t="s">
        <v>81</v>
      </c>
      <c r="B15" s="24" t="s">
        <v>82</v>
      </c>
      <c r="C15" s="24" t="s">
        <v>83</v>
      </c>
      <c r="D15" s="24" t="s">
        <v>74</v>
      </c>
      <c r="E15" s="28" t="s">
        <v>84</v>
      </c>
      <c r="F15" s="27" t="str">
        <f>IFERROR(__xludf.DUMMYFUNCTION("IF(E15="""", """", ""https://drive.google.com/uc?export=view&amp;id="" &amp; REGEXEXTRACT(E15, ""/d/(.*)/""))"),"https://drive.google.com/uc?export=view&amp;id=14nbZVUvlsjY-LDtwN3AQa2hzZWDlnvgf")</f>
        <v>https://drive.google.com/uc?export=view&amp;id=14nbZVUvlsjY-LDtwN3AQa2hzZWDlnvgf</v>
      </c>
    </row>
    <row r="16">
      <c r="A16" s="25" t="s">
        <v>85</v>
      </c>
      <c r="B16" s="24" t="s">
        <v>86</v>
      </c>
      <c r="C16" s="24" t="s">
        <v>87</v>
      </c>
      <c r="D16" s="24" t="s">
        <v>88</v>
      </c>
      <c r="E16" s="28" t="s">
        <v>89</v>
      </c>
      <c r="F16" s="27" t="str">
        <f>IFERROR(__xludf.DUMMYFUNCTION("IF(E16="""", """", ""https://drive.google.com/uc?export=view&amp;id="" &amp; REGEXEXTRACT(E16, ""/d/(.*)/""))"),"https://drive.google.com/uc?export=view&amp;id=1nDD6CuoMnLoga-f0PpsRtqWD57UfRBkx")</f>
        <v>https://drive.google.com/uc?export=view&amp;id=1nDD6CuoMnLoga-f0PpsRtqWD57UfRBkx</v>
      </c>
    </row>
    <row r="17">
      <c r="A17" s="25" t="s">
        <v>90</v>
      </c>
      <c r="B17" s="24" t="s">
        <v>91</v>
      </c>
      <c r="C17" s="24" t="s">
        <v>92</v>
      </c>
      <c r="D17" s="24" t="s">
        <v>93</v>
      </c>
      <c r="E17" s="28" t="s">
        <v>94</v>
      </c>
      <c r="F17" s="27" t="str">
        <f>IFERROR(__xludf.DUMMYFUNCTION("IF(E17="""", """", ""https://drive.google.com/uc?export=view&amp;id="" &amp; REGEXEXTRACT(E17, ""/d/(.*)/""))"),"https://drive.google.com/uc?export=view&amp;id=1GWhrzo7rxLbs37rHVEullF_ENsxgNAHk")</f>
        <v>https://drive.google.com/uc?export=view&amp;id=1GWhrzo7rxLbs37rHVEullF_ENsxgNAHk</v>
      </c>
    </row>
    <row r="18">
      <c r="A18" s="25" t="s">
        <v>95</v>
      </c>
      <c r="B18" s="24" t="s">
        <v>96</v>
      </c>
      <c r="C18" s="24" t="s">
        <v>97</v>
      </c>
      <c r="D18" s="24" t="s">
        <v>98</v>
      </c>
      <c r="E18" s="28" t="s">
        <v>99</v>
      </c>
      <c r="F18" s="27" t="str">
        <f>IFERROR(__xludf.DUMMYFUNCTION("IF(E18="""", """", ""https://drive.google.com/uc?export=view&amp;id="" &amp; REGEXEXTRACT(E18, ""/d/(.*)/""))"),"https://drive.google.com/uc?export=view&amp;id=1RhhU84KkyO7NlAJy7orPp0p9Gvcqfa7p")</f>
        <v>https://drive.google.com/uc?export=view&amp;id=1RhhU84KkyO7NlAJy7orPp0p9Gvcqfa7p</v>
      </c>
    </row>
    <row r="19">
      <c r="A19" s="25" t="s">
        <v>100</v>
      </c>
      <c r="B19" s="24" t="s">
        <v>101</v>
      </c>
      <c r="C19" s="24" t="s">
        <v>102</v>
      </c>
      <c r="D19" s="24" t="s">
        <v>103</v>
      </c>
      <c r="E19" s="28" t="s">
        <v>104</v>
      </c>
      <c r="F19" s="27" t="str">
        <f>IFERROR(__xludf.DUMMYFUNCTION("IF(E19="""", """", ""https://drive.google.com/uc?export=view&amp;id="" &amp; REGEXEXTRACT(E19, ""/d/(.*)/""))"),"https://drive.google.com/uc?export=view&amp;id=1xjXqd9TAn4SNoGBre-Gwh6YcMaT9nnTd")</f>
        <v>https://drive.google.com/uc?export=view&amp;id=1xjXqd9TAn4SNoGBre-Gwh6YcMaT9nnTd</v>
      </c>
    </row>
    <row r="20">
      <c r="A20" s="25" t="s">
        <v>105</v>
      </c>
      <c r="B20" s="24" t="s">
        <v>106</v>
      </c>
      <c r="C20" s="24" t="s">
        <v>107</v>
      </c>
      <c r="D20" s="24" t="s">
        <v>108</v>
      </c>
      <c r="E20" s="28" t="s">
        <v>109</v>
      </c>
      <c r="F20" s="27" t="str">
        <f>IFERROR(__xludf.DUMMYFUNCTION("IF(E20="""", """", ""https://drive.google.com/uc?export=view&amp;id="" &amp; REGEXEXTRACT(E20, ""/d/(.*)/""))"),"https://drive.google.com/uc?export=view&amp;id=1NBZAjEUjlnSON7vZLet5XIsqsjVF3DG7")</f>
        <v>https://drive.google.com/uc?export=view&amp;id=1NBZAjEUjlnSON7vZLet5XIsqsjVF3DG7</v>
      </c>
    </row>
    <row r="21">
      <c r="A21" s="25" t="s">
        <v>110</v>
      </c>
      <c r="B21" s="24" t="s">
        <v>111</v>
      </c>
      <c r="C21" s="24" t="s">
        <v>112</v>
      </c>
      <c r="D21" s="24" t="s">
        <v>113</v>
      </c>
      <c r="E21" s="28" t="s">
        <v>114</v>
      </c>
      <c r="F21" s="27" t="str">
        <f>IFERROR(__xludf.DUMMYFUNCTION("IF(E21="""", """", ""https://drive.google.com/uc?export=view&amp;id="" &amp; REGEXEXTRACT(E21, ""/d/(.*)/""))"),"https://drive.google.com/uc?export=view&amp;id=1xLZR7Tsp1ZMTqDTbGVVvpw5bqZ1CuvGY")</f>
        <v>https://drive.google.com/uc?export=view&amp;id=1xLZR7Tsp1ZMTqDTbGVVvpw5bqZ1CuvGY</v>
      </c>
    </row>
    <row r="22">
      <c r="A22" s="25" t="s">
        <v>115</v>
      </c>
      <c r="B22" s="24" t="s">
        <v>116</v>
      </c>
      <c r="C22" s="24" t="s">
        <v>117</v>
      </c>
      <c r="D22" s="24" t="s">
        <v>118</v>
      </c>
      <c r="E22" s="28" t="s">
        <v>119</v>
      </c>
      <c r="F22" s="27" t="str">
        <f>IFERROR(__xludf.DUMMYFUNCTION("IF(E22="""", """", ""https://drive.google.com/uc?export=view&amp;id="" &amp; REGEXEXTRACT(E22, ""/d/(.*)/""))"),"https://drive.google.com/uc?export=view&amp;id=1IG2TcQGWffGFN2F84WUiO2bM9zvaewoY")</f>
        <v>https://drive.google.com/uc?export=view&amp;id=1IG2TcQGWffGFN2F84WUiO2bM9zvaewoY</v>
      </c>
    </row>
    <row r="23">
      <c r="A23" s="25" t="s">
        <v>120</v>
      </c>
      <c r="B23" s="24" t="s">
        <v>121</v>
      </c>
      <c r="C23" s="24" t="s">
        <v>122</v>
      </c>
      <c r="D23" s="24" t="s">
        <v>123</v>
      </c>
      <c r="E23" s="28" t="s">
        <v>124</v>
      </c>
      <c r="F23" s="27" t="str">
        <f>IFERROR(__xludf.DUMMYFUNCTION("IF(E23="""", """", ""https://drive.google.com/uc?export=view&amp;id="" &amp; REGEXEXTRACT(E23, ""/d/(.*)/""))"),"https://drive.google.com/uc?export=view&amp;id=1yLkAA6Es4XvbY7OFs0wlQp1MtiuQ-Gqu")</f>
        <v>https://drive.google.com/uc?export=view&amp;id=1yLkAA6Es4XvbY7OFs0wlQp1MtiuQ-Gqu</v>
      </c>
    </row>
    <row r="24">
      <c r="A24" s="25" t="s">
        <v>125</v>
      </c>
      <c r="B24" s="24" t="s">
        <v>126</v>
      </c>
      <c r="C24" s="24" t="s">
        <v>127</v>
      </c>
      <c r="D24" s="24" t="s">
        <v>128</v>
      </c>
      <c r="E24" s="28" t="s">
        <v>129</v>
      </c>
      <c r="F24" s="27" t="str">
        <f>IFERROR(__xludf.DUMMYFUNCTION("IF(E24="""", """", ""https://drive.google.com/uc?export=view&amp;id="" &amp; REGEXEXTRACT(E24, ""/d/(.*)/""))"),"https://drive.google.com/uc?export=view&amp;id=1vZH2kamMfuXWmuQ4KlWODZnxqtptXSOp")</f>
        <v>https://drive.google.com/uc?export=view&amp;id=1vZH2kamMfuXWmuQ4KlWODZnxqtptXSOp</v>
      </c>
    </row>
    <row r="25">
      <c r="A25" s="25" t="s">
        <v>130</v>
      </c>
      <c r="B25" s="24" t="s">
        <v>131</v>
      </c>
      <c r="C25" s="24" t="s">
        <v>132</v>
      </c>
      <c r="D25" s="24" t="s">
        <v>133</v>
      </c>
      <c r="E25" s="28" t="s">
        <v>134</v>
      </c>
      <c r="F25" s="27" t="str">
        <f>IFERROR(__xludf.DUMMYFUNCTION("IF(E25="""", """", ""https://drive.google.com/uc?export=view&amp;id="" &amp; REGEXEXTRACT(E25, ""/d/(.*)/""))"),"https://drive.google.com/uc?export=view&amp;id=1Ym45okARDdkyfF_ZzR3BD0qawn-ye3gq")</f>
        <v>https://drive.google.com/uc?export=view&amp;id=1Ym45okARDdkyfF_ZzR3BD0qawn-ye3gq</v>
      </c>
    </row>
    <row r="26">
      <c r="A26" s="25" t="s">
        <v>135</v>
      </c>
      <c r="B26" s="24" t="s">
        <v>136</v>
      </c>
      <c r="C26" s="24" t="s">
        <v>137</v>
      </c>
      <c r="D26" s="24" t="s">
        <v>138</v>
      </c>
      <c r="E26" s="28" t="s">
        <v>139</v>
      </c>
      <c r="F26" s="27" t="str">
        <f>IFERROR(__xludf.DUMMYFUNCTION("IF(E26="""", """", ""https://drive.google.com/uc?export=view&amp;id="" &amp; REGEXEXTRACT(E26, ""/d/(.*)/""))"),"https://drive.google.com/uc?export=view&amp;id=1yBISxXekCdWZcFW5CppnNvAgf0qMIJHx")</f>
        <v>https://drive.google.com/uc?export=view&amp;id=1yBISxXekCdWZcFW5CppnNvAgf0qMIJHx</v>
      </c>
    </row>
    <row r="27">
      <c r="A27" s="25" t="s">
        <v>140</v>
      </c>
      <c r="B27" s="24" t="s">
        <v>141</v>
      </c>
      <c r="C27" s="24" t="s">
        <v>142</v>
      </c>
      <c r="D27" s="24" t="s">
        <v>143</v>
      </c>
      <c r="E27" s="28" t="s">
        <v>144</v>
      </c>
      <c r="F27" s="27" t="str">
        <f>IFERROR(__xludf.DUMMYFUNCTION("IF(E27="""", """", ""https://drive.google.com/uc?export=view&amp;id="" &amp; REGEXEXTRACT(E27, ""/d/(.*)/""))"),"https://drive.google.com/uc?export=view&amp;id=1h933OGLQfet6ZWMyP4kodMMC1eiYvZPz")</f>
        <v>https://drive.google.com/uc?export=view&amp;id=1h933OGLQfet6ZWMyP4kodMMC1eiYvZPz</v>
      </c>
    </row>
    <row r="28">
      <c r="A28" s="25" t="s">
        <v>145</v>
      </c>
      <c r="B28" s="24" t="s">
        <v>146</v>
      </c>
      <c r="C28" s="24" t="s">
        <v>147</v>
      </c>
      <c r="D28" s="24" t="s">
        <v>148</v>
      </c>
      <c r="E28" s="28" t="s">
        <v>149</v>
      </c>
      <c r="F28" s="27" t="str">
        <f>IFERROR(__xludf.DUMMYFUNCTION("IF(E28="""", """", ""https://drive.google.com/uc?export=view&amp;id="" &amp; REGEXEXTRACT(E28, ""/d/(.*)/""))"),"https://drive.google.com/uc?export=view&amp;id=1Z1TRDksTSds7c2xIaT6z4Dpe09rP2pbJ")</f>
        <v>https://drive.google.com/uc?export=view&amp;id=1Z1TRDksTSds7c2xIaT6z4Dpe09rP2pbJ</v>
      </c>
    </row>
    <row r="29">
      <c r="A29" s="25" t="s">
        <v>150</v>
      </c>
      <c r="B29" s="24" t="s">
        <v>151</v>
      </c>
      <c r="C29" s="24" t="s">
        <v>152</v>
      </c>
      <c r="D29" s="24" t="s">
        <v>153</v>
      </c>
      <c r="E29" s="28" t="s">
        <v>154</v>
      </c>
      <c r="F29" s="27" t="str">
        <f>IFERROR(__xludf.DUMMYFUNCTION("IF(E29="""", """", ""https://drive.google.com/uc?export=view&amp;id="" &amp; REGEXEXTRACT(E29, ""/d/(.*)/""))"),"https://drive.google.com/uc?export=view&amp;id=1dd2IMbyTsIgCoxi6TfTAo7Y6cTjh_omG")</f>
        <v>https://drive.google.com/uc?export=view&amp;id=1dd2IMbyTsIgCoxi6TfTAo7Y6cTjh_omG</v>
      </c>
    </row>
    <row r="30">
      <c r="A30" s="25" t="s">
        <v>155</v>
      </c>
      <c r="B30" s="24" t="s">
        <v>156</v>
      </c>
      <c r="C30" s="24" t="s">
        <v>157</v>
      </c>
      <c r="D30" s="24" t="s">
        <v>158</v>
      </c>
      <c r="E30" s="28" t="s">
        <v>159</v>
      </c>
      <c r="F30" s="27" t="str">
        <f>IFERROR(__xludf.DUMMYFUNCTION("IF(E30="""", """", ""https://drive.google.com/uc?export=view&amp;id="" &amp; REGEXEXTRACT(E30, ""/d/(.*)/""))"),"https://drive.google.com/uc?export=view&amp;id=1uj8O15kVRxPvY-VhrExpqYdkyvoPY3dS")</f>
        <v>https://drive.google.com/uc?export=view&amp;id=1uj8O15kVRxPvY-VhrExpqYdkyvoPY3dS</v>
      </c>
    </row>
    <row r="31">
      <c r="A31" s="25" t="s">
        <v>160</v>
      </c>
      <c r="B31" s="24" t="s">
        <v>161</v>
      </c>
      <c r="C31" s="24" t="s">
        <v>162</v>
      </c>
      <c r="D31" s="24" t="s">
        <v>163</v>
      </c>
      <c r="E31" s="28" t="s">
        <v>164</v>
      </c>
      <c r="F31" s="27" t="str">
        <f>IFERROR(__xludf.DUMMYFUNCTION("IF(E31="""", """", ""https://drive.google.com/uc?export=view&amp;id="" &amp; REGEXEXTRACT(E31, ""/d/(.*)/""))"),"https://drive.google.com/uc?export=view&amp;id=1yTMvl-TTPdZvYO8Dss-kfVa18l1S8hKp")</f>
        <v>https://drive.google.com/uc?export=view&amp;id=1yTMvl-TTPdZvYO8Dss-kfVa18l1S8hKp</v>
      </c>
    </row>
    <row r="32">
      <c r="A32" s="25" t="s">
        <v>165</v>
      </c>
      <c r="B32" s="24" t="s">
        <v>166</v>
      </c>
      <c r="C32" s="24" t="s">
        <v>167</v>
      </c>
      <c r="D32" s="24" t="s">
        <v>168</v>
      </c>
      <c r="E32" s="28" t="s">
        <v>169</v>
      </c>
      <c r="F32" s="27" t="str">
        <f>IFERROR(__xludf.DUMMYFUNCTION("IF(E32="""", """", ""https://drive.google.com/uc?export=view&amp;id="" &amp; REGEXEXTRACT(E32, ""/d/(.*)/""))"),"https://drive.google.com/uc?export=view&amp;id=1HDoKzr-bOVCO4MZBahsLi-5SukLEUApY")</f>
        <v>https://drive.google.com/uc?export=view&amp;id=1HDoKzr-bOVCO4MZBahsLi-5SukLEUApY</v>
      </c>
    </row>
    <row r="33">
      <c r="A33" s="25" t="s">
        <v>170</v>
      </c>
      <c r="B33" s="24" t="s">
        <v>171</v>
      </c>
      <c r="C33" s="24" t="s">
        <v>172</v>
      </c>
      <c r="D33" s="24" t="s">
        <v>173</v>
      </c>
      <c r="E33" s="28" t="s">
        <v>174</v>
      </c>
      <c r="F33" s="27" t="str">
        <f>IFERROR(__xludf.DUMMYFUNCTION("IF(E33="""", """", ""https://drive.google.com/uc?export=view&amp;id="" &amp; REGEXEXTRACT(E33, ""/d/(.*)/""))"),"https://drive.google.com/uc?export=view&amp;id=1lYfXfavq0TBl9HHF8eqIUvjJFvldc6GB")</f>
        <v>https://drive.google.com/uc?export=view&amp;id=1lYfXfavq0TBl9HHF8eqIUvjJFvldc6GB</v>
      </c>
    </row>
    <row r="34">
      <c r="A34" s="25" t="s">
        <v>175</v>
      </c>
      <c r="B34" s="24" t="s">
        <v>176</v>
      </c>
      <c r="C34" s="24" t="s">
        <v>177</v>
      </c>
      <c r="D34" s="24" t="s">
        <v>178</v>
      </c>
      <c r="E34" s="28" t="s">
        <v>179</v>
      </c>
      <c r="F34" s="27" t="str">
        <f>IFERROR(__xludf.DUMMYFUNCTION("IF(E34="""", """", ""https://drive.google.com/uc?export=view&amp;id="" &amp; REGEXEXTRACT(E34, ""/d/(.*)/""))"),"https://drive.google.com/uc?export=view&amp;id=1NyGxjwiINsObEZv5eZydpDHkY7Noicfg")</f>
        <v>https://drive.google.com/uc?export=view&amp;id=1NyGxjwiINsObEZv5eZydpDHkY7Noicfg</v>
      </c>
    </row>
    <row r="35">
      <c r="A35" s="25" t="s">
        <v>180</v>
      </c>
      <c r="B35" s="24" t="s">
        <v>181</v>
      </c>
      <c r="C35" s="24" t="s">
        <v>182</v>
      </c>
      <c r="D35" s="24" t="s">
        <v>183</v>
      </c>
      <c r="E35" s="28" t="s">
        <v>184</v>
      </c>
      <c r="F35" s="27" t="str">
        <f>IFERROR(__xludf.DUMMYFUNCTION("IF(E35="""", """", ""https://drive.google.com/uc?export=view&amp;id="" &amp; REGEXEXTRACT(E35, ""/d/(.*)/""))"),"https://drive.google.com/uc?export=view&amp;id=1cKJ8IPz3WQ6DG1vQb1N7wvPVKF5UWM2J")</f>
        <v>https://drive.google.com/uc?export=view&amp;id=1cKJ8IPz3WQ6DG1vQb1N7wvPVKF5UWM2J</v>
      </c>
    </row>
    <row r="36">
      <c r="A36" s="25" t="s">
        <v>185</v>
      </c>
      <c r="B36" s="24" t="s">
        <v>186</v>
      </c>
      <c r="C36" s="24" t="s">
        <v>187</v>
      </c>
      <c r="D36" s="24" t="s">
        <v>188</v>
      </c>
      <c r="E36" s="28" t="s">
        <v>189</v>
      </c>
      <c r="F36" s="27" t="str">
        <f>IFERROR(__xludf.DUMMYFUNCTION("IF(E36="""", """", ""https://drive.google.com/uc?export=view&amp;id="" &amp; REGEXEXTRACT(E36, ""/d/(.*)/""))"),"https://drive.google.com/uc?export=view&amp;id=1joFxiLq6Xqr-ZXZ8-7vBKfpK-Yxb8iHd")</f>
        <v>https://drive.google.com/uc?export=view&amp;id=1joFxiLq6Xqr-ZXZ8-7vBKfpK-Yxb8iHd</v>
      </c>
    </row>
    <row r="37">
      <c r="A37" s="25" t="s">
        <v>190</v>
      </c>
      <c r="B37" s="24" t="s">
        <v>191</v>
      </c>
      <c r="C37" s="24" t="s">
        <v>192</v>
      </c>
      <c r="D37" s="24" t="s">
        <v>193</v>
      </c>
      <c r="E37" s="28" t="s">
        <v>194</v>
      </c>
      <c r="F37" s="27" t="str">
        <f>IFERROR(__xludf.DUMMYFUNCTION("IF(E37="""", """", ""https://drive.google.com/uc?export=view&amp;id="" &amp; REGEXEXTRACT(E37, ""/d/(.*)/""))"),"https://drive.google.com/uc?export=view&amp;id=1Viy3kDTiRGBHZphYMHRmYmkKuJx5NMWw")</f>
        <v>https://drive.google.com/uc?export=view&amp;id=1Viy3kDTiRGBHZphYMHRmYmkKuJx5NMWw</v>
      </c>
    </row>
    <row r="38">
      <c r="A38" s="25" t="s">
        <v>195</v>
      </c>
      <c r="B38" s="24" t="s">
        <v>196</v>
      </c>
      <c r="C38" s="24" t="s">
        <v>197</v>
      </c>
      <c r="D38" s="24" t="s">
        <v>198</v>
      </c>
      <c r="E38" s="28" t="s">
        <v>199</v>
      </c>
      <c r="F38" s="27" t="str">
        <f>IFERROR(__xludf.DUMMYFUNCTION("IF(E38="""", """", ""https://drive.google.com/uc?export=view&amp;id="" &amp; REGEXEXTRACT(E38, ""/d/(.*)/""))"),"https://drive.google.com/uc?export=view&amp;id=1LytccQl21AjbkiqUQqPcbN_TZYKmN7dr")</f>
        <v>https://drive.google.com/uc?export=view&amp;id=1LytccQl21AjbkiqUQqPcbN_TZYKmN7dr</v>
      </c>
    </row>
    <row r="39">
      <c r="A39" s="25" t="s">
        <v>200</v>
      </c>
      <c r="B39" s="24" t="s">
        <v>201</v>
      </c>
      <c r="C39" s="24" t="s">
        <v>202</v>
      </c>
      <c r="D39" s="24" t="s">
        <v>203</v>
      </c>
      <c r="E39" s="28" t="s">
        <v>204</v>
      </c>
      <c r="F39" s="27" t="str">
        <f>IFERROR(__xludf.DUMMYFUNCTION("IF(E39="""", """", ""https://drive.google.com/uc?export=view&amp;id="" &amp; REGEXEXTRACT(E39, ""/d/(.*)/""))"),"https://drive.google.com/uc?export=view&amp;id=1sF8CRK36ZPLKDN3LDYnVNlnuoeIr2Yd5")</f>
        <v>https://drive.google.com/uc?export=view&amp;id=1sF8CRK36ZPLKDN3LDYnVNlnuoeIr2Yd5</v>
      </c>
    </row>
    <row r="40">
      <c r="A40" s="25" t="s">
        <v>205</v>
      </c>
      <c r="B40" s="24" t="s">
        <v>206</v>
      </c>
      <c r="C40" s="24" t="s">
        <v>207</v>
      </c>
      <c r="D40" s="25" t="s">
        <v>208</v>
      </c>
      <c r="E40" s="28" t="s">
        <v>209</v>
      </c>
      <c r="F40" s="27" t="str">
        <f>IFERROR(__xludf.DUMMYFUNCTION("IF(E40="""", """", ""https://drive.google.com/uc?export=view&amp;id="" &amp; REGEXEXTRACT(E40, ""/d/(.*)/""))"),"https://drive.google.com/uc?export=view&amp;id=1FD045dZ0IoiEuAzHpWD93NriuGWrxeyr")</f>
        <v>https://drive.google.com/uc?export=view&amp;id=1FD045dZ0IoiEuAzHpWD93NriuGWrxeyr</v>
      </c>
    </row>
    <row r="41">
      <c r="A41" s="25" t="s">
        <v>210</v>
      </c>
      <c r="B41" s="24" t="s">
        <v>211</v>
      </c>
      <c r="C41" s="24" t="s">
        <v>212</v>
      </c>
      <c r="D41" s="24" t="s">
        <v>213</v>
      </c>
      <c r="E41" s="28" t="s">
        <v>214</v>
      </c>
      <c r="F41" s="27" t="str">
        <f>IFERROR(__xludf.DUMMYFUNCTION("IF(E41="""", """", ""https://drive.google.com/uc?export=view&amp;id="" &amp; REGEXEXTRACT(E41, ""/d/(.*)/""))"),"https://drive.google.com/uc?export=view&amp;id=1ZD2wQv6s7EnOb1yU2kl_utwfcAu33CUR")</f>
        <v>https://drive.google.com/uc?export=view&amp;id=1ZD2wQv6s7EnOb1yU2kl_utwfcAu33CUR</v>
      </c>
    </row>
    <row r="42">
      <c r="A42" s="25" t="s">
        <v>215</v>
      </c>
      <c r="B42" s="24" t="s">
        <v>216</v>
      </c>
      <c r="C42" s="24" t="s">
        <v>217</v>
      </c>
      <c r="D42" s="24" t="s">
        <v>218</v>
      </c>
      <c r="E42" s="28" t="s">
        <v>219</v>
      </c>
      <c r="F42" s="27" t="str">
        <f>IFERROR(__xludf.DUMMYFUNCTION("IF(E42="""", """", ""https://drive.google.com/uc?export=view&amp;id="" &amp; REGEXEXTRACT(E42, ""/d/(.*)/""))"),"https://drive.google.com/uc?export=view&amp;id=19_FmcEfS-6SjCpmqN06rxWxqEjC0Yvmk")</f>
        <v>https://drive.google.com/uc?export=view&amp;id=19_FmcEfS-6SjCpmqN06rxWxqEjC0Yvmk</v>
      </c>
    </row>
    <row r="43">
      <c r="A43" s="25" t="s">
        <v>220</v>
      </c>
      <c r="B43" s="24" t="s">
        <v>221</v>
      </c>
      <c r="C43" s="24" t="s">
        <v>222</v>
      </c>
      <c r="D43" s="24" t="s">
        <v>223</v>
      </c>
      <c r="E43" s="28" t="s">
        <v>224</v>
      </c>
      <c r="F43" s="27" t="str">
        <f>IFERROR(__xludf.DUMMYFUNCTION("IF(E43="""", """", ""https://drive.google.com/uc?export=view&amp;id="" &amp; REGEXEXTRACT(E43, ""/d/(.*)/""))"),"https://drive.google.com/uc?export=view&amp;id=1H0V8Fdmr17Can4HqZ_kn86nlGowUtbfx")</f>
        <v>https://drive.google.com/uc?export=view&amp;id=1H0V8Fdmr17Can4HqZ_kn86nlGowUtbfx</v>
      </c>
    </row>
    <row r="44">
      <c r="A44" s="25" t="s">
        <v>225</v>
      </c>
      <c r="B44" s="24" t="s">
        <v>226</v>
      </c>
      <c r="C44" s="24" t="s">
        <v>227</v>
      </c>
      <c r="D44" s="25" t="s">
        <v>228</v>
      </c>
      <c r="E44" s="28" t="s">
        <v>229</v>
      </c>
      <c r="F44" s="27" t="str">
        <f>IFERROR(__xludf.DUMMYFUNCTION("IF(E44="""", """", ""https://drive.google.com/uc?export=view&amp;id="" &amp; REGEXEXTRACT(E44, ""/d/(.*)/""))"),"https://drive.google.com/uc?export=view&amp;id=1SLPkA9bY97lvvIYtDio7KCvgbvmfmxa4")</f>
        <v>https://drive.google.com/uc?export=view&amp;id=1SLPkA9bY97lvvIYtDio7KCvgbvmfmxa4</v>
      </c>
    </row>
    <row r="45">
      <c r="A45" s="25" t="s">
        <v>230</v>
      </c>
      <c r="B45" s="24" t="s">
        <v>231</v>
      </c>
      <c r="C45" s="24" t="s">
        <v>232</v>
      </c>
      <c r="D45" s="24" t="s">
        <v>158</v>
      </c>
      <c r="E45" s="28" t="s">
        <v>233</v>
      </c>
      <c r="F45" s="27" t="str">
        <f>IFERROR(__xludf.DUMMYFUNCTION("IF(E45="""", """", ""https://drive.google.com/uc?export=view&amp;id="" &amp; REGEXEXTRACT(E45, ""/d/(.*)/""))"),"https://drive.google.com/uc?export=view&amp;id=1ADJagxmVD3qisbF8wZyyA42hfviJszKd")</f>
        <v>https://drive.google.com/uc?export=view&amp;id=1ADJagxmVD3qisbF8wZyyA42hfviJszKd</v>
      </c>
    </row>
    <row r="46">
      <c r="A46" s="25" t="s">
        <v>234</v>
      </c>
      <c r="B46" s="24" t="s">
        <v>235</v>
      </c>
      <c r="C46" s="24" t="s">
        <v>236</v>
      </c>
      <c r="D46" s="25" t="s">
        <v>237</v>
      </c>
      <c r="E46" s="28" t="s">
        <v>238</v>
      </c>
      <c r="F46" s="27" t="str">
        <f>IFERROR(__xludf.DUMMYFUNCTION("IF(E46="""", """", ""https://drive.google.com/uc?export=view&amp;id="" &amp; REGEXEXTRACT(E46, ""/d/(.*)/""))"),"https://drive.google.com/uc?export=view&amp;id=1NAInQBxrYUoTGzaaoM8Sue0xS76RWJu2")</f>
        <v>https://drive.google.com/uc?export=view&amp;id=1NAInQBxrYUoTGzaaoM8Sue0xS76RWJu2</v>
      </c>
    </row>
    <row r="47">
      <c r="A47" s="25" t="s">
        <v>239</v>
      </c>
      <c r="B47" s="24" t="s">
        <v>240</v>
      </c>
      <c r="C47" s="24" t="s">
        <v>241</v>
      </c>
      <c r="D47" s="24" t="s">
        <v>242</v>
      </c>
      <c r="E47" s="28" t="s">
        <v>243</v>
      </c>
      <c r="F47" s="27" t="str">
        <f>IFERROR(__xludf.DUMMYFUNCTION("IF(E47="""", """", ""https://drive.google.com/uc?export=view&amp;id="" &amp; REGEXEXTRACT(E47, ""/d/(.*)/""))"),"https://drive.google.com/uc?export=view&amp;id=1qyi1sEe_mSo-GI6Rv001JV8cjgE2BxI6")</f>
        <v>https://drive.google.com/uc?export=view&amp;id=1qyi1sEe_mSo-GI6Rv001JV8cjgE2BxI6</v>
      </c>
    </row>
    <row r="48">
      <c r="A48" s="25" t="s">
        <v>244</v>
      </c>
      <c r="B48" s="24" t="s">
        <v>245</v>
      </c>
      <c r="C48" s="24" t="s">
        <v>246</v>
      </c>
      <c r="D48" s="24" t="s">
        <v>247</v>
      </c>
      <c r="E48" s="28" t="s">
        <v>248</v>
      </c>
      <c r="F48" s="27" t="str">
        <f>IFERROR(__xludf.DUMMYFUNCTION("IF(E48="""", """", ""https://drive.google.com/uc?export=view&amp;id="" &amp; REGEXEXTRACT(E48, ""/d/(.*)/""))"),"https://drive.google.com/uc?export=view&amp;id=1PCKRG5pB-QE4sc8xjdHb0uOIiYD4lrYD")</f>
        <v>https://drive.google.com/uc?export=view&amp;id=1PCKRG5pB-QE4sc8xjdHb0uOIiYD4lrYD</v>
      </c>
    </row>
    <row r="49">
      <c r="A49" s="25" t="s">
        <v>249</v>
      </c>
      <c r="B49" s="24" t="s">
        <v>250</v>
      </c>
      <c r="C49" s="24" t="s">
        <v>251</v>
      </c>
      <c r="D49" s="25" t="s">
        <v>252</v>
      </c>
      <c r="E49" s="28" t="s">
        <v>253</v>
      </c>
      <c r="F49" s="27" t="str">
        <f>IFERROR(__xludf.DUMMYFUNCTION("IF(E49="""", """", ""https://drive.google.com/uc?export=view&amp;id="" &amp; REGEXEXTRACT(E49, ""/d/(.*)/""))"),"https://drive.google.com/uc?export=view&amp;id=1ohDxUQ0Qm6eGyctH6qsogGTzgYaD5pBC")</f>
        <v>https://drive.google.com/uc?export=view&amp;id=1ohDxUQ0Qm6eGyctH6qsogGTzgYaD5pBC</v>
      </c>
    </row>
    <row r="50">
      <c r="A50" s="25" t="s">
        <v>254</v>
      </c>
      <c r="B50" s="24" t="s">
        <v>255</v>
      </c>
      <c r="C50" s="24" t="s">
        <v>256</v>
      </c>
      <c r="D50" s="25" t="s">
        <v>257</v>
      </c>
      <c r="E50" s="28" t="s">
        <v>258</v>
      </c>
      <c r="F50" s="27" t="str">
        <f>IFERROR(__xludf.DUMMYFUNCTION("IF(E50="""", """", ""https://drive.google.com/uc?export=view&amp;id="" &amp; REGEXEXTRACT(E50, ""/d/(.*)/""))"),"https://drive.google.com/uc?export=view&amp;id=1fmevb2bbfXZshEVAZHnl6UMm42K-I58v")</f>
        <v>https://drive.google.com/uc?export=view&amp;id=1fmevb2bbfXZshEVAZHnl6UMm42K-I58v</v>
      </c>
    </row>
    <row r="51">
      <c r="A51" s="25" t="s">
        <v>259</v>
      </c>
      <c r="B51" s="24" t="s">
        <v>260</v>
      </c>
      <c r="C51" s="24" t="s">
        <v>261</v>
      </c>
      <c r="D51" s="24" t="s">
        <v>262</v>
      </c>
      <c r="E51" s="28" t="s">
        <v>263</v>
      </c>
      <c r="F51" s="27" t="str">
        <f>IFERROR(__xludf.DUMMYFUNCTION("IF(E51="""", """", ""https://drive.google.com/uc?export=view&amp;id="" &amp; REGEXEXTRACT(E51, ""/d/(.*)/""))"),"https://drive.google.com/uc?export=view&amp;id=1EB79Pl5ambsyB1nZJCYXPpKBIAaY9j_G")</f>
        <v>https://drive.google.com/uc?export=view&amp;id=1EB79Pl5ambsyB1nZJCYXPpKBIAaY9j_G</v>
      </c>
    </row>
    <row r="52">
      <c r="A52" s="25" t="s">
        <v>264</v>
      </c>
      <c r="B52" s="24" t="s">
        <v>265</v>
      </c>
      <c r="C52" s="24" t="s">
        <v>266</v>
      </c>
      <c r="D52" s="24" t="s">
        <v>267</v>
      </c>
      <c r="E52" s="28" t="s">
        <v>268</v>
      </c>
      <c r="F52" s="27" t="str">
        <f>IFERROR(__xludf.DUMMYFUNCTION("IF(E52="""", """", ""https://drive.google.com/uc?export=view&amp;id="" &amp; REGEXEXTRACT(E52, ""/d/(.*)/""))"),"https://drive.google.com/uc?export=view&amp;id=12nwCh5RCg_i-D4YjOvzO-2qf7OGt62N9")</f>
        <v>https://drive.google.com/uc?export=view&amp;id=12nwCh5RCg_i-D4YjOvzO-2qf7OGt62N9</v>
      </c>
    </row>
    <row r="53">
      <c r="A53" s="25" t="s">
        <v>269</v>
      </c>
      <c r="B53" s="24" t="s">
        <v>270</v>
      </c>
      <c r="C53" s="24" t="s">
        <v>271</v>
      </c>
      <c r="D53" s="24" t="s">
        <v>272</v>
      </c>
      <c r="E53" s="28" t="s">
        <v>273</v>
      </c>
      <c r="F53" s="27" t="str">
        <f>IFERROR(__xludf.DUMMYFUNCTION("IF(E53="""", """", ""https://drive.google.com/uc?export=view&amp;id="" &amp; REGEXEXTRACT(E53, ""/d/(.*)/""))"),"https://drive.google.com/uc?export=view&amp;id=1hLh6Fsmufcj7-aAQmd0pezJ3rmDh74Rl")</f>
        <v>https://drive.google.com/uc?export=view&amp;id=1hLh6Fsmufcj7-aAQmd0pezJ3rmDh74Rl</v>
      </c>
    </row>
    <row r="54">
      <c r="A54" s="25" t="s">
        <v>274</v>
      </c>
      <c r="B54" s="24" t="s">
        <v>275</v>
      </c>
      <c r="C54" s="24" t="s">
        <v>276</v>
      </c>
      <c r="D54" s="24" t="s">
        <v>277</v>
      </c>
      <c r="E54" s="28" t="s">
        <v>278</v>
      </c>
      <c r="F54" s="27" t="str">
        <f>IFERROR(__xludf.DUMMYFUNCTION("IF(E54="""", """", ""https://drive.google.com/uc?export=view&amp;id="" &amp; REGEXEXTRACT(E54, ""/d/(.*)/""))"),"https://drive.google.com/uc?export=view&amp;id=1X5jpWCj3zcY826cvMXqdz6DnlrLz33hW")</f>
        <v>https://drive.google.com/uc?export=view&amp;id=1X5jpWCj3zcY826cvMXqdz6DnlrLz33hW</v>
      </c>
    </row>
    <row r="55">
      <c r="A55" s="25" t="s">
        <v>279</v>
      </c>
      <c r="B55" s="24" t="s">
        <v>280</v>
      </c>
      <c r="C55" s="24" t="s">
        <v>261</v>
      </c>
      <c r="D55" s="24" t="s">
        <v>281</v>
      </c>
      <c r="E55" s="28" t="s">
        <v>282</v>
      </c>
      <c r="F55" s="27" t="str">
        <f>IFERROR(__xludf.DUMMYFUNCTION("IF(E55="""", """", ""https://drive.google.com/uc?export=view&amp;id="" &amp; REGEXEXTRACT(E55, ""/d/(.*)/""))"),"https://drive.google.com/uc?export=view&amp;id=1STxmdf-BcmA-jc34kq7YqZAcB8yd8Mxj")</f>
        <v>https://drive.google.com/uc?export=view&amp;id=1STxmdf-BcmA-jc34kq7YqZAcB8yd8Mxj</v>
      </c>
    </row>
    <row r="56">
      <c r="A56" s="25" t="s">
        <v>283</v>
      </c>
      <c r="B56" s="24" t="s">
        <v>284</v>
      </c>
      <c r="C56" s="24" t="s">
        <v>261</v>
      </c>
      <c r="D56" s="24" t="s">
        <v>285</v>
      </c>
      <c r="E56" s="28" t="s">
        <v>286</v>
      </c>
      <c r="F56" s="27" t="str">
        <f>IFERROR(__xludf.DUMMYFUNCTION("IF(E56="""", """", ""https://drive.google.com/uc?export=view&amp;id="" &amp; REGEXEXTRACT(E56, ""/d/(.*)/""))"),"https://drive.google.com/uc?export=view&amp;id=1uDyG7_w5c8ibRNdoQPEeJQHAhBg68z1s")</f>
        <v>https://drive.google.com/uc?export=view&amp;id=1uDyG7_w5c8ibRNdoQPEeJQHAhBg68z1s</v>
      </c>
    </row>
    <row r="57">
      <c r="A57" s="25" t="s">
        <v>287</v>
      </c>
      <c r="B57" s="24" t="s">
        <v>288</v>
      </c>
      <c r="C57" s="24" t="s">
        <v>289</v>
      </c>
      <c r="D57" s="24" t="s">
        <v>290</v>
      </c>
      <c r="E57" s="28" t="s">
        <v>291</v>
      </c>
      <c r="F57" s="27" t="str">
        <f>IFERROR(__xludf.DUMMYFUNCTION("IF(E57="""", """", ""https://drive.google.com/uc?export=view&amp;id="" &amp; REGEXEXTRACT(E57, ""/d/(.*)/""))"),"https://drive.google.com/uc?export=view&amp;id=1E0M2_J0iRdNPUDTqqgRvHLBrJuCE2pyM")</f>
        <v>https://drive.google.com/uc?export=view&amp;id=1E0M2_J0iRdNPUDTqqgRvHLBrJuCE2pyM</v>
      </c>
    </row>
    <row r="58">
      <c r="A58" s="25" t="s">
        <v>292</v>
      </c>
      <c r="B58" s="24" t="s">
        <v>293</v>
      </c>
      <c r="C58" s="24" t="s">
        <v>294</v>
      </c>
      <c r="D58" s="24" t="s">
        <v>295</v>
      </c>
      <c r="E58" s="28" t="s">
        <v>296</v>
      </c>
      <c r="F58" s="27" t="str">
        <f>IFERROR(__xludf.DUMMYFUNCTION("IF(E58="""", """", ""https://drive.google.com/uc?export=view&amp;id="" &amp; REGEXEXTRACT(E58, ""/d/(.*)/""))"),"https://drive.google.com/uc?export=view&amp;id=1iojjChVEG5UUsgKO0spUAFgFi5I3HFyJ")</f>
        <v>https://drive.google.com/uc?export=view&amp;id=1iojjChVEG5UUsgKO0spUAFgFi5I3HFyJ</v>
      </c>
    </row>
    <row r="59">
      <c r="A59" s="25" t="s">
        <v>297</v>
      </c>
      <c r="B59" s="24" t="s">
        <v>298</v>
      </c>
      <c r="C59" s="24" t="s">
        <v>289</v>
      </c>
      <c r="D59" s="24" t="s">
        <v>272</v>
      </c>
      <c r="E59" s="28" t="s">
        <v>299</v>
      </c>
      <c r="F59" s="27" t="str">
        <f>IFERROR(__xludf.DUMMYFUNCTION("IF(E59="""", """", ""https://drive.google.com/uc?export=view&amp;id="" &amp; REGEXEXTRACT(E59, ""/d/(.*)/""))"),"https://drive.google.com/uc?export=view&amp;id=19nBuD_j1nyWqEMKloMignQPW-Aty4rSx")</f>
        <v>https://drive.google.com/uc?export=view&amp;id=19nBuD_j1nyWqEMKloMignQPW-Aty4rSx</v>
      </c>
    </row>
    <row r="60">
      <c r="A60" s="25" t="s">
        <v>300</v>
      </c>
      <c r="B60" s="24" t="s">
        <v>301</v>
      </c>
      <c r="C60" s="24" t="s">
        <v>302</v>
      </c>
      <c r="D60" s="24" t="s">
        <v>303</v>
      </c>
      <c r="E60" s="28" t="s">
        <v>304</v>
      </c>
      <c r="F60" s="27" t="str">
        <f>IFERROR(__xludf.DUMMYFUNCTION("IF(E60="""", """", ""https://drive.google.com/uc?export=view&amp;id="" &amp; REGEXEXTRACT(E60, ""/d/(.*)/""))"),"https://drive.google.com/uc?export=view&amp;id=1K-x6U1R5TwcfGZmJpT4Jfq0TwSitK0yW")</f>
        <v>https://drive.google.com/uc?export=view&amp;id=1K-x6U1R5TwcfGZmJpT4Jfq0TwSitK0yW</v>
      </c>
    </row>
    <row r="61">
      <c r="A61" s="25" t="s">
        <v>305</v>
      </c>
      <c r="B61" s="24" t="s">
        <v>306</v>
      </c>
      <c r="C61" s="24" t="s">
        <v>307</v>
      </c>
      <c r="D61" s="24" t="s">
        <v>308</v>
      </c>
      <c r="E61" s="28" t="s">
        <v>309</v>
      </c>
      <c r="F61" s="27" t="str">
        <f>IFERROR(__xludf.DUMMYFUNCTION("IF(E61="""", """", ""https://drive.google.com/uc?export=view&amp;id="" &amp; REGEXEXTRACT(E61, ""/d/(.*)/""))"),"https://drive.google.com/uc?export=view&amp;id=1bsdgIww8ksCeP9rs6Mth5mgemyYdAYXm")</f>
        <v>https://drive.google.com/uc?export=view&amp;id=1bsdgIww8ksCeP9rs6Mth5mgemyYdAYXm</v>
      </c>
    </row>
    <row r="62">
      <c r="A62" s="25" t="s">
        <v>310</v>
      </c>
      <c r="B62" s="24" t="s">
        <v>311</v>
      </c>
      <c r="C62" s="24" t="s">
        <v>312</v>
      </c>
      <c r="D62" s="24" t="s">
        <v>313</v>
      </c>
      <c r="E62" s="28" t="s">
        <v>314</v>
      </c>
      <c r="F62" s="27" t="str">
        <f>IFERROR(__xludf.DUMMYFUNCTION("IF(E62="""", """", ""https://drive.google.com/uc?export=view&amp;id="" &amp; REGEXEXTRACT(E62, ""/d/(.*)/""))"),"https://drive.google.com/uc?export=view&amp;id=12YlUaw2FaG0CyfaTVfyTthzhF3bHII_M")</f>
        <v>https://drive.google.com/uc?export=view&amp;id=12YlUaw2FaG0CyfaTVfyTthzhF3bHII_M</v>
      </c>
    </row>
    <row r="63">
      <c r="A63" s="25" t="s">
        <v>315</v>
      </c>
      <c r="B63" s="24" t="s">
        <v>316</v>
      </c>
      <c r="C63" s="24" t="s">
        <v>317</v>
      </c>
      <c r="D63" s="24" t="s">
        <v>318</v>
      </c>
      <c r="E63" s="28" t="s">
        <v>319</v>
      </c>
      <c r="F63" s="27" t="str">
        <f>IFERROR(__xludf.DUMMYFUNCTION("IF(E63="""", """", ""https://drive.google.com/uc?export=view&amp;id="" &amp; REGEXEXTRACT(E63, ""/d/(.*)/""))"),"https://drive.google.com/uc?export=view&amp;id=1IoVi4K6ovzGGn1A_TvkaQis5yKpuxR3g")</f>
        <v>https://drive.google.com/uc?export=view&amp;id=1IoVi4K6ovzGGn1A_TvkaQis5yKpuxR3g</v>
      </c>
    </row>
    <row r="64">
      <c r="A64" s="25" t="s">
        <v>320</v>
      </c>
      <c r="B64" s="24" t="s">
        <v>321</v>
      </c>
      <c r="C64" s="24" t="s">
        <v>322</v>
      </c>
      <c r="D64" s="24" t="s">
        <v>323</v>
      </c>
      <c r="E64" s="28" t="s">
        <v>324</v>
      </c>
      <c r="F64" s="27" t="str">
        <f>IFERROR(__xludf.DUMMYFUNCTION("IF(E64="""", """", ""https://drive.google.com/uc?export=view&amp;id="" &amp; REGEXEXTRACT(E64, ""/d/(.*)/""))"),"https://drive.google.com/uc?export=view&amp;id=1jjhhd0j0QZWGdnQkI9QReb_VY6I5aLfR")</f>
        <v>https://drive.google.com/uc?export=view&amp;id=1jjhhd0j0QZWGdnQkI9QReb_VY6I5aLfR</v>
      </c>
    </row>
    <row r="65">
      <c r="A65" s="25" t="s">
        <v>325</v>
      </c>
      <c r="B65" s="24" t="s">
        <v>326</v>
      </c>
      <c r="C65" s="24" t="s">
        <v>327</v>
      </c>
      <c r="D65" s="24" t="s">
        <v>328</v>
      </c>
      <c r="E65" s="28" t="s">
        <v>329</v>
      </c>
      <c r="F65" s="27" t="str">
        <f>IFERROR(__xludf.DUMMYFUNCTION("IF(E65="""", """", ""https://drive.google.com/uc?export=view&amp;id="" &amp; REGEXEXTRACT(E65, ""/d/(.*)/""))"),"https://drive.google.com/uc?export=view&amp;id=1Xa5IswDjpgsxb-XLZoZTCWGBBHljN2vr")</f>
        <v>https://drive.google.com/uc?export=view&amp;id=1Xa5IswDjpgsxb-XLZoZTCWGBBHljN2vr</v>
      </c>
    </row>
    <row r="66">
      <c r="A66" s="25" t="s">
        <v>330</v>
      </c>
      <c r="B66" s="24" t="s">
        <v>331</v>
      </c>
      <c r="C66" s="24" t="s">
        <v>332</v>
      </c>
      <c r="D66" s="24" t="s">
        <v>333</v>
      </c>
      <c r="E66" s="28" t="s">
        <v>334</v>
      </c>
      <c r="F66" s="27" t="str">
        <f>IFERROR(__xludf.DUMMYFUNCTION("IF(E66="""", """", ""https://drive.google.com/uc?export=view&amp;id="" &amp; REGEXEXTRACT(E66, ""/d/(.*)/""))"),"https://drive.google.com/uc?export=view&amp;id=1wjqAc6GQscy8Hn66S8-JtndnvqelwMsb")</f>
        <v>https://drive.google.com/uc?export=view&amp;id=1wjqAc6GQscy8Hn66S8-JtndnvqelwMsb</v>
      </c>
    </row>
    <row r="67">
      <c r="A67" s="25" t="s">
        <v>335</v>
      </c>
      <c r="B67" s="24" t="s">
        <v>336</v>
      </c>
      <c r="C67" s="24" t="s">
        <v>337</v>
      </c>
      <c r="D67" s="24" t="s">
        <v>338</v>
      </c>
      <c r="E67" s="28" t="s">
        <v>339</v>
      </c>
      <c r="F67" s="27" t="str">
        <f>IFERROR(__xludf.DUMMYFUNCTION("IF(E67="""", """", ""https://drive.google.com/uc?export=view&amp;id="" &amp; REGEXEXTRACT(E67, ""/d/(.*)/""))"),"https://drive.google.com/uc?export=view&amp;id=1MppskLBHgfOYqsgnRZAoYuNvxFMNuPPY")</f>
        <v>https://drive.google.com/uc?export=view&amp;id=1MppskLBHgfOYqsgnRZAoYuNvxFMNuPPY</v>
      </c>
    </row>
    <row r="68">
      <c r="A68" s="25" t="s">
        <v>340</v>
      </c>
      <c r="B68" s="24" t="s">
        <v>341</v>
      </c>
      <c r="C68" s="24" t="s">
        <v>342</v>
      </c>
      <c r="D68" s="24" t="s">
        <v>343</v>
      </c>
      <c r="E68" s="28" t="s">
        <v>344</v>
      </c>
      <c r="F68" s="27" t="str">
        <f>IFERROR(__xludf.DUMMYFUNCTION("IF(E68="""", """", ""https://drive.google.com/uc?export=view&amp;id="" &amp; REGEXEXTRACT(E68, ""/d/(.*)/""))"),"https://drive.google.com/uc?export=view&amp;id=113CXhZMNDxIUsiDpLoyu_HUh_oRWFDoX")</f>
        <v>https://drive.google.com/uc?export=view&amp;id=113CXhZMNDxIUsiDpLoyu_HUh_oRWFDoX</v>
      </c>
    </row>
    <row r="69">
      <c r="A69" s="25" t="s">
        <v>345</v>
      </c>
      <c r="B69" s="24" t="s">
        <v>346</v>
      </c>
      <c r="C69" s="24" t="s">
        <v>347</v>
      </c>
      <c r="D69" s="25" t="s">
        <v>348</v>
      </c>
      <c r="E69" s="28" t="s">
        <v>349</v>
      </c>
      <c r="F69" s="27" t="str">
        <f>IFERROR(__xludf.DUMMYFUNCTION("IF(E69="""", """", ""https://drive.google.com/uc?export=view&amp;id="" &amp; REGEXEXTRACT(E69, ""/d/(.*)/""))"),"https://drive.google.com/uc?export=view&amp;id=18S7ZAuxq-oZUMAXJ6cgbqFr7JRwjuhhf")</f>
        <v>https://drive.google.com/uc?export=view&amp;id=18S7ZAuxq-oZUMAXJ6cgbqFr7JRwjuhhf</v>
      </c>
    </row>
    <row r="70">
      <c r="A70" s="25" t="s">
        <v>350</v>
      </c>
      <c r="B70" s="24" t="s">
        <v>351</v>
      </c>
      <c r="C70" s="24" t="s">
        <v>352</v>
      </c>
      <c r="D70" s="24" t="s">
        <v>353</v>
      </c>
      <c r="E70" s="28" t="s">
        <v>354</v>
      </c>
      <c r="F70" s="27" t="str">
        <f>IFERROR(__xludf.DUMMYFUNCTION("IF(E70="""", """", ""https://drive.google.com/uc?export=view&amp;id="" &amp; REGEXEXTRACT(E70, ""/d/(.*)/""))"),"https://drive.google.com/uc?export=view&amp;id=19GWfDhUNC9shoeGXxyxMP3odHvfkD4Mi")</f>
        <v>https://drive.google.com/uc?export=view&amp;id=19GWfDhUNC9shoeGXxyxMP3odHvfkD4Mi</v>
      </c>
    </row>
    <row r="71">
      <c r="A71" s="25" t="s">
        <v>355</v>
      </c>
      <c r="B71" s="24" t="s">
        <v>356</v>
      </c>
      <c r="C71" s="24" t="s">
        <v>357</v>
      </c>
      <c r="D71" s="24" t="s">
        <v>358</v>
      </c>
      <c r="E71" s="28" t="s">
        <v>359</v>
      </c>
      <c r="F71" s="27" t="str">
        <f>IFERROR(__xludf.DUMMYFUNCTION("IF(E71="""", """", ""https://drive.google.com/uc?export=view&amp;id="" &amp; REGEXEXTRACT(E71, ""/d/(.*)/""))"),"https://drive.google.com/uc?export=view&amp;id=1R3ROkqoN9TPR29Mr8qY1qHD6BYQzDjG1")</f>
        <v>https://drive.google.com/uc?export=view&amp;id=1R3ROkqoN9TPR29Mr8qY1qHD6BYQzDjG1</v>
      </c>
    </row>
    <row r="72">
      <c r="A72" s="25" t="s">
        <v>360</v>
      </c>
      <c r="B72" s="24" t="s">
        <v>361</v>
      </c>
      <c r="C72" s="24" t="s">
        <v>362</v>
      </c>
      <c r="D72" s="24" t="s">
        <v>363</v>
      </c>
      <c r="E72" s="28" t="s">
        <v>364</v>
      </c>
      <c r="F72" s="27" t="str">
        <f>IFERROR(__xludf.DUMMYFUNCTION("IF(E72="""", """", ""https://drive.google.com/uc?export=view&amp;id="" &amp; REGEXEXTRACT(E72, ""/d/(.*)/""))"),"https://drive.google.com/uc?export=view&amp;id=1t-1nGGh81x1fwCPDKM2Og-LRJjxtiqLH")</f>
        <v>https://drive.google.com/uc?export=view&amp;id=1t-1nGGh81x1fwCPDKM2Og-LRJjxtiqLH</v>
      </c>
    </row>
    <row r="73">
      <c r="A73" s="25" t="s">
        <v>365</v>
      </c>
      <c r="B73" s="24" t="s">
        <v>366</v>
      </c>
      <c r="C73" s="24" t="s">
        <v>367</v>
      </c>
      <c r="D73" s="25" t="s">
        <v>368</v>
      </c>
      <c r="E73" s="28" t="s">
        <v>369</v>
      </c>
      <c r="F73" s="27" t="str">
        <f>IFERROR(__xludf.DUMMYFUNCTION("IF(E73="""", """", ""https://drive.google.com/uc?export=view&amp;id="" &amp; REGEXEXTRACT(E73, ""/d/(.*)/""))"),"https://drive.google.com/uc?export=view&amp;id=1lsc6oZZ-s2G4aNSGW0AEvD4ltw2BzY7v")</f>
        <v>https://drive.google.com/uc?export=view&amp;id=1lsc6oZZ-s2G4aNSGW0AEvD4ltw2BzY7v</v>
      </c>
    </row>
    <row r="74">
      <c r="A74" s="25" t="s">
        <v>370</v>
      </c>
      <c r="B74" s="24" t="s">
        <v>371</v>
      </c>
      <c r="C74" s="24" t="s">
        <v>372</v>
      </c>
      <c r="D74" s="24" t="s">
        <v>373</v>
      </c>
      <c r="E74" s="28" t="s">
        <v>374</v>
      </c>
      <c r="F74" s="27" t="str">
        <f>IFERROR(__xludf.DUMMYFUNCTION("IF(E74="""", """", ""https://drive.google.com/uc?export=view&amp;id="" &amp; REGEXEXTRACT(E74, ""/d/(.*)/""))"),"https://drive.google.com/uc?export=view&amp;id=1ai78REM-eemzyYinMbxnh5WPEx6TQ00f")</f>
        <v>https://drive.google.com/uc?export=view&amp;id=1ai78REM-eemzyYinMbxnh5WPEx6TQ00f</v>
      </c>
    </row>
    <row r="75">
      <c r="A75" s="25" t="s">
        <v>375</v>
      </c>
      <c r="B75" s="24" t="s">
        <v>376</v>
      </c>
      <c r="C75" s="24" t="s">
        <v>377</v>
      </c>
      <c r="D75" s="24" t="s">
        <v>378</v>
      </c>
      <c r="E75" s="28" t="s">
        <v>379</v>
      </c>
      <c r="F75" s="27" t="str">
        <f>IFERROR(__xludf.DUMMYFUNCTION("IF(E75="""", """", ""https://drive.google.com/uc?export=view&amp;id="" &amp; REGEXEXTRACT(E75, ""/d/(.*)/""))"),"https://drive.google.com/uc?export=view&amp;id=1x2Cz9BCtYa160-D1uF813mibNMFzR7_h")</f>
        <v>https://drive.google.com/uc?export=view&amp;id=1x2Cz9BCtYa160-D1uF813mibNMFzR7_h</v>
      </c>
    </row>
    <row r="76">
      <c r="A76" s="25" t="s">
        <v>380</v>
      </c>
      <c r="B76" s="24" t="s">
        <v>381</v>
      </c>
      <c r="C76" s="24" t="s">
        <v>382</v>
      </c>
      <c r="D76" s="24" t="s">
        <v>383</v>
      </c>
      <c r="E76" s="28" t="s">
        <v>384</v>
      </c>
      <c r="F76" s="27" t="str">
        <f>IFERROR(__xludf.DUMMYFUNCTION("IF(E76="""", """", ""https://drive.google.com/uc?export=view&amp;id="" &amp; REGEXEXTRACT(E76, ""/d/(.*)/""))"),"https://drive.google.com/uc?export=view&amp;id=1iJdQ1uVu53wGBbQktIDGXuLaeA1qXGOI")</f>
        <v>https://drive.google.com/uc?export=view&amp;id=1iJdQ1uVu53wGBbQktIDGXuLaeA1qXGOI</v>
      </c>
    </row>
    <row r="77">
      <c r="A77" s="25" t="s">
        <v>385</v>
      </c>
      <c r="B77" s="24" t="s">
        <v>386</v>
      </c>
      <c r="C77" s="24" t="s">
        <v>387</v>
      </c>
      <c r="D77" s="25" t="s">
        <v>388</v>
      </c>
      <c r="E77" s="28" t="s">
        <v>389</v>
      </c>
      <c r="F77" s="27" t="str">
        <f>IFERROR(__xludf.DUMMYFUNCTION("IF(E77="""", """", ""https://drive.google.com/uc?export=view&amp;id="" &amp; REGEXEXTRACT(E77, ""/d/(.*)/""))"),"https://drive.google.com/uc?export=view&amp;id=1Fz5zba3oQByrvzmMqakxEk54294MmoDS")</f>
        <v>https://drive.google.com/uc?export=view&amp;id=1Fz5zba3oQByrvzmMqakxEk54294MmoDS</v>
      </c>
    </row>
    <row r="78">
      <c r="A78" s="25" t="s">
        <v>390</v>
      </c>
      <c r="B78" s="24" t="s">
        <v>391</v>
      </c>
      <c r="C78" s="24" t="s">
        <v>392</v>
      </c>
      <c r="D78" s="24" t="s">
        <v>393</v>
      </c>
      <c r="E78" s="28" t="s">
        <v>394</v>
      </c>
      <c r="F78" s="27" t="str">
        <f>IFERROR(__xludf.DUMMYFUNCTION("IF(E78="""", """", ""https://drive.google.com/uc?export=view&amp;id="" &amp; REGEXEXTRACT(E78, ""/d/(.*)/""))"),"https://drive.google.com/uc?export=view&amp;id=1GThbROnRLNEAD7UCThDRkdiXn8BcwFzj")</f>
        <v>https://drive.google.com/uc?export=view&amp;id=1GThbROnRLNEAD7UCThDRkdiXn8BcwFzj</v>
      </c>
    </row>
    <row r="79">
      <c r="A79" s="25" t="s">
        <v>395</v>
      </c>
      <c r="B79" s="24" t="s">
        <v>396</v>
      </c>
      <c r="C79" s="24" t="s">
        <v>397</v>
      </c>
      <c r="D79" s="24" t="s">
        <v>398</v>
      </c>
      <c r="E79" s="28" t="s">
        <v>399</v>
      </c>
      <c r="F79" s="27" t="str">
        <f>IFERROR(__xludf.DUMMYFUNCTION("IF(E79="""", """", ""https://drive.google.com/uc?export=view&amp;id="" &amp; REGEXEXTRACT(E79, ""/d/(.*)/""))"),"https://drive.google.com/uc?export=view&amp;id=1jqgmWru-hr0owVFVhi_xVlq39y-k-WoX")</f>
        <v>https://drive.google.com/uc?export=view&amp;id=1jqgmWru-hr0owVFVhi_xVlq39y-k-WoX</v>
      </c>
    </row>
    <row r="80">
      <c r="A80" s="25" t="s">
        <v>400</v>
      </c>
      <c r="B80" s="24" t="s">
        <v>401</v>
      </c>
      <c r="C80" s="24" t="s">
        <v>402</v>
      </c>
      <c r="D80" s="24" t="s">
        <v>403</v>
      </c>
      <c r="E80" s="28" t="s">
        <v>404</v>
      </c>
      <c r="F80" s="27" t="str">
        <f>IFERROR(__xludf.DUMMYFUNCTION("IF(E80="""", """", ""https://drive.google.com/uc?export=view&amp;id="" &amp; REGEXEXTRACT(E80, ""/d/(.*)/""))"),"https://drive.google.com/uc?export=view&amp;id=1HAJO4vktr3MTOddQq4RvdbeRhEC966jY")</f>
        <v>https://drive.google.com/uc?export=view&amp;id=1HAJO4vktr3MTOddQq4RvdbeRhEC966jY</v>
      </c>
    </row>
    <row r="81">
      <c r="A81" s="25" t="s">
        <v>405</v>
      </c>
      <c r="B81" s="24" t="s">
        <v>406</v>
      </c>
      <c r="C81" s="24" t="s">
        <v>407</v>
      </c>
      <c r="D81" s="24" t="s">
        <v>408</v>
      </c>
      <c r="E81" s="28" t="s">
        <v>409</v>
      </c>
      <c r="F81" s="27" t="str">
        <f>IFERROR(__xludf.DUMMYFUNCTION("IF(E81="""", """", ""https://drive.google.com/uc?export=view&amp;id="" &amp; REGEXEXTRACT(E81, ""/d/(.*)/""))"),"https://drive.google.com/uc?export=view&amp;id=1VQ4EzJlJCol4GUelGFZ7xJdryVIxifzP")</f>
        <v>https://drive.google.com/uc?export=view&amp;id=1VQ4EzJlJCol4GUelGFZ7xJdryVIxifzP</v>
      </c>
    </row>
    <row r="82">
      <c r="A82" s="25" t="s">
        <v>410</v>
      </c>
      <c r="B82" s="24" t="s">
        <v>411</v>
      </c>
      <c r="C82" s="24" t="s">
        <v>412</v>
      </c>
      <c r="D82" s="25" t="s">
        <v>413</v>
      </c>
      <c r="E82" s="28" t="s">
        <v>414</v>
      </c>
      <c r="F82" s="27" t="str">
        <f>IFERROR(__xludf.DUMMYFUNCTION("IF(E82="""", """", ""https://drive.google.com/uc?export=view&amp;id="" &amp; REGEXEXTRACT(E82, ""/d/(.*)/""))"),"https://drive.google.com/uc?export=view&amp;id=1LTyDHt1oOpWhy_2JPujWZv9E1-gp0SvM")</f>
        <v>https://drive.google.com/uc?export=view&amp;id=1LTyDHt1oOpWhy_2JPujWZv9E1-gp0SvM</v>
      </c>
    </row>
    <row r="83">
      <c r="A83" s="25" t="s">
        <v>415</v>
      </c>
      <c r="B83" s="24" t="s">
        <v>416</v>
      </c>
      <c r="C83" s="24" t="s">
        <v>417</v>
      </c>
      <c r="D83" s="24" t="s">
        <v>418</v>
      </c>
      <c r="E83" s="28" t="s">
        <v>419</v>
      </c>
      <c r="F83" s="27" t="str">
        <f>IFERROR(__xludf.DUMMYFUNCTION("IF(E83="""", """", ""https://drive.google.com/uc?export=view&amp;id="" &amp; REGEXEXTRACT(E83, ""/d/(.*)/""))"),"https://drive.google.com/uc?export=view&amp;id=1VshsAesA_bH6aeJkHOwd40kBXj7AoVgq")</f>
        <v>https://drive.google.com/uc?export=view&amp;id=1VshsAesA_bH6aeJkHOwd40kBXj7AoVgq</v>
      </c>
    </row>
    <row r="84">
      <c r="A84" s="25" t="s">
        <v>420</v>
      </c>
      <c r="B84" s="24" t="s">
        <v>421</v>
      </c>
      <c r="C84" s="24" t="s">
        <v>422</v>
      </c>
      <c r="D84" s="24" t="s">
        <v>423</v>
      </c>
      <c r="E84" s="28" t="s">
        <v>424</v>
      </c>
      <c r="F84" s="27" t="str">
        <f>IFERROR(__xludf.DUMMYFUNCTION("IF(E84="""", """", ""https://drive.google.com/uc?export=view&amp;id="" &amp; REGEXEXTRACT(E84, ""/d/(.*)/""))"),"https://drive.google.com/uc?export=view&amp;id=1fnhhAhblqFuJ3cwEEez6dxk6rF_7K7yq")</f>
        <v>https://drive.google.com/uc?export=view&amp;id=1fnhhAhblqFuJ3cwEEez6dxk6rF_7K7yq</v>
      </c>
    </row>
    <row r="85">
      <c r="A85" s="25" t="s">
        <v>425</v>
      </c>
      <c r="B85" s="24" t="s">
        <v>426</v>
      </c>
      <c r="C85" s="24" t="s">
        <v>427</v>
      </c>
      <c r="D85" s="24" t="s">
        <v>428</v>
      </c>
      <c r="E85" s="28" t="s">
        <v>429</v>
      </c>
      <c r="F85" s="27" t="str">
        <f>IFERROR(__xludf.DUMMYFUNCTION("IF(E85="""", """", ""https://drive.google.com/uc?export=view&amp;id="" &amp; REGEXEXTRACT(E85, ""/d/(.*)/""))"),"https://drive.google.com/uc?export=view&amp;id=1FGQgbJcMjOZdDHGKQh4nRfbDiIJgNkDB")</f>
        <v>https://drive.google.com/uc?export=view&amp;id=1FGQgbJcMjOZdDHGKQh4nRfbDiIJgNkDB</v>
      </c>
    </row>
    <row r="86">
      <c r="A86" s="25" t="s">
        <v>430</v>
      </c>
      <c r="B86" s="24" t="s">
        <v>431</v>
      </c>
      <c r="C86" s="24" t="s">
        <v>432</v>
      </c>
      <c r="D86" s="25" t="s">
        <v>433</v>
      </c>
      <c r="E86" s="28" t="s">
        <v>434</v>
      </c>
      <c r="F86" s="27" t="str">
        <f>IFERROR(__xludf.DUMMYFUNCTION("IF(E86="""", """", ""https://drive.google.com/uc?export=view&amp;id="" &amp; REGEXEXTRACT(E86, ""/d/(.*)/""))"),"https://drive.google.com/uc?export=view&amp;id=1C9f8Bm5PsnCpAB9x9HVOzKEjRXO7pfJ8")</f>
        <v>https://drive.google.com/uc?export=view&amp;id=1C9f8Bm5PsnCpAB9x9HVOzKEjRXO7pfJ8</v>
      </c>
    </row>
    <row r="87">
      <c r="A87" s="25" t="s">
        <v>435</v>
      </c>
      <c r="B87" s="24" t="s">
        <v>436</v>
      </c>
      <c r="C87" s="24" t="s">
        <v>437</v>
      </c>
      <c r="D87" s="24" t="s">
        <v>438</v>
      </c>
      <c r="E87" s="28" t="s">
        <v>439</v>
      </c>
      <c r="F87" s="27" t="str">
        <f>IFERROR(__xludf.DUMMYFUNCTION("IF(E87="""", """", ""https://drive.google.com/uc?export=view&amp;id="" &amp; REGEXEXTRACT(E87, ""/d/(.*)/""))"),"https://drive.google.com/uc?export=view&amp;id=1Ik0ilv4oKYCPinSO8Gf-shw-RzxIq9Yr")</f>
        <v>https://drive.google.com/uc?export=view&amp;id=1Ik0ilv4oKYCPinSO8Gf-shw-RzxIq9Yr</v>
      </c>
    </row>
    <row r="88">
      <c r="A88" s="25" t="s">
        <v>440</v>
      </c>
      <c r="B88" s="24" t="s">
        <v>441</v>
      </c>
      <c r="C88" s="24" t="s">
        <v>442</v>
      </c>
      <c r="D88" s="24" t="s">
        <v>443</v>
      </c>
      <c r="E88" s="28" t="s">
        <v>444</v>
      </c>
      <c r="F88" s="27" t="str">
        <f>IFERROR(__xludf.DUMMYFUNCTION("IF(E88="""", """", ""https://drive.google.com/uc?export=view&amp;id="" &amp; REGEXEXTRACT(E88, ""/d/(.*)/""))"),"https://drive.google.com/uc?export=view&amp;id=1cw4nIwPDdLHnyjDMQHqQN4OZuUXsFh2H")</f>
        <v>https://drive.google.com/uc?export=view&amp;id=1cw4nIwPDdLHnyjDMQHqQN4OZuUXsFh2H</v>
      </c>
    </row>
    <row r="89">
      <c r="A89" s="25" t="s">
        <v>445</v>
      </c>
      <c r="B89" s="24" t="s">
        <v>446</v>
      </c>
      <c r="C89" s="24" t="s">
        <v>447</v>
      </c>
      <c r="D89" s="24" t="s">
        <v>448</v>
      </c>
      <c r="E89" s="28" t="s">
        <v>449</v>
      </c>
      <c r="F89" s="27" t="str">
        <f>IFERROR(__xludf.DUMMYFUNCTION("IF(E89="""", """", ""https://drive.google.com/uc?export=view&amp;id="" &amp; REGEXEXTRACT(E89, ""/d/(.*)/""))"),"https://drive.google.com/uc?export=view&amp;id=1zB4edv_gXaqsT4x8NDqCQpYkw2CJSAMt")</f>
        <v>https://drive.google.com/uc?export=view&amp;id=1zB4edv_gXaqsT4x8NDqCQpYkw2CJSAMt</v>
      </c>
    </row>
    <row r="90">
      <c r="A90" s="25" t="s">
        <v>450</v>
      </c>
      <c r="B90" s="24" t="s">
        <v>451</v>
      </c>
      <c r="C90" s="24" t="s">
        <v>452</v>
      </c>
      <c r="D90" s="25" t="s">
        <v>453</v>
      </c>
      <c r="E90" s="28" t="s">
        <v>454</v>
      </c>
      <c r="F90" s="27" t="str">
        <f>IFERROR(__xludf.DUMMYFUNCTION("IF(E90="""", """", ""https://drive.google.com/uc?export=view&amp;id="" &amp; REGEXEXTRACT(E90, ""/d/(.*)/""))"),"https://drive.google.com/uc?export=view&amp;id=193JslbARFcl0XwM03w1lK0v9eB04Zyvh")</f>
        <v>https://drive.google.com/uc?export=view&amp;id=193JslbARFcl0XwM03w1lK0v9eB04Zyvh</v>
      </c>
    </row>
    <row r="91">
      <c r="A91" s="25" t="s">
        <v>455</v>
      </c>
      <c r="B91" s="24" t="s">
        <v>456</v>
      </c>
      <c r="C91" s="24" t="s">
        <v>457</v>
      </c>
      <c r="D91" s="25" t="s">
        <v>458</v>
      </c>
      <c r="E91" s="28" t="s">
        <v>459</v>
      </c>
      <c r="F91" s="27" t="str">
        <f>IFERROR(__xludf.DUMMYFUNCTION("IF(E91="""", """", ""https://drive.google.com/uc?export=view&amp;id="" &amp; REGEXEXTRACT(E91, ""/d/(.*)/""))"),"https://drive.google.com/uc?export=view&amp;id=1O1SrpWkapHoT-mG-ktdb0t-3fMnNt5TV")</f>
        <v>https://drive.google.com/uc?export=view&amp;id=1O1SrpWkapHoT-mG-ktdb0t-3fMnNt5TV</v>
      </c>
    </row>
    <row r="92">
      <c r="A92" s="25" t="s">
        <v>460</v>
      </c>
      <c r="B92" s="24" t="s">
        <v>461</v>
      </c>
      <c r="C92" s="24" t="s">
        <v>462</v>
      </c>
      <c r="D92" s="24" t="s">
        <v>463</v>
      </c>
      <c r="E92" s="28" t="s">
        <v>464</v>
      </c>
      <c r="F92" s="27" t="str">
        <f>IFERROR(__xludf.DUMMYFUNCTION("IF(E92="""", """", ""https://drive.google.com/uc?export=view&amp;id="" &amp; REGEXEXTRACT(E92, ""/d/(.*)/""))"),"https://drive.google.com/uc?export=view&amp;id=1EnZB5poU8a1wIv5NwVGoo89Bsa1HnntY")</f>
        <v>https://drive.google.com/uc?export=view&amp;id=1EnZB5poU8a1wIv5NwVGoo89Bsa1HnntY</v>
      </c>
    </row>
    <row r="93">
      <c r="A93" s="25" t="s">
        <v>465</v>
      </c>
      <c r="B93" s="24" t="s">
        <v>466</v>
      </c>
      <c r="C93" s="24" t="s">
        <v>467</v>
      </c>
      <c r="D93" s="25" t="s">
        <v>468</v>
      </c>
      <c r="E93" s="28" t="s">
        <v>469</v>
      </c>
      <c r="F93" s="27" t="str">
        <f>IFERROR(__xludf.DUMMYFUNCTION("IF(E93="""", """", ""https://drive.google.com/uc?export=view&amp;id="" &amp; REGEXEXTRACT(E93, ""/d/(.*)/""))"),"https://drive.google.com/uc?export=view&amp;id=1fw7PAjSn-T8rZdkousKFZUZ0h6vjk8Br")</f>
        <v>https://drive.google.com/uc?export=view&amp;id=1fw7PAjSn-T8rZdkousKFZUZ0h6vjk8Br</v>
      </c>
    </row>
    <row r="94">
      <c r="A94" s="25" t="s">
        <v>470</v>
      </c>
      <c r="B94" s="24" t="s">
        <v>471</v>
      </c>
      <c r="C94" s="24" t="s">
        <v>472</v>
      </c>
      <c r="D94" s="24" t="s">
        <v>473</v>
      </c>
      <c r="E94" s="28" t="s">
        <v>474</v>
      </c>
      <c r="F94" s="27" t="str">
        <f>IFERROR(__xludf.DUMMYFUNCTION("IF(E94="""", """", ""https://drive.google.com/uc?export=view&amp;id="" &amp; REGEXEXTRACT(E94, ""/d/(.*)/""))"),"https://drive.google.com/uc?export=view&amp;id=13mJNxfsg7aWfeSgzLTH6n5EAsdoCwtBK")</f>
        <v>https://drive.google.com/uc?export=view&amp;id=13mJNxfsg7aWfeSgzLTH6n5EAsdoCwtBK</v>
      </c>
    </row>
    <row r="95">
      <c r="A95" s="25" t="s">
        <v>475</v>
      </c>
      <c r="B95" s="24" t="s">
        <v>476</v>
      </c>
      <c r="C95" s="24" t="s">
        <v>477</v>
      </c>
      <c r="D95" s="24" t="s">
        <v>478</v>
      </c>
      <c r="E95" s="28" t="s">
        <v>479</v>
      </c>
      <c r="F95" s="27" t="str">
        <f>IFERROR(__xludf.DUMMYFUNCTION("IF(E95="""", """", ""https://drive.google.com/uc?export=view&amp;id="" &amp; REGEXEXTRACT(E95, ""/d/(.*)/""))"),"https://drive.google.com/uc?export=view&amp;id=1o3Ed9-K_1SCfG8JtK5rVF9pKfS5ulK_9")</f>
        <v>https://drive.google.com/uc?export=view&amp;id=1o3Ed9-K_1SCfG8JtK5rVF9pKfS5ulK_9</v>
      </c>
    </row>
    <row r="96">
      <c r="A96" s="25" t="s">
        <v>480</v>
      </c>
      <c r="B96" s="24" t="s">
        <v>481</v>
      </c>
      <c r="C96" s="24" t="s">
        <v>482</v>
      </c>
      <c r="D96" s="25" t="s">
        <v>483</v>
      </c>
      <c r="E96" s="28" t="s">
        <v>484</v>
      </c>
      <c r="F96" s="27" t="str">
        <f>IFERROR(__xludf.DUMMYFUNCTION("IF(E96="""", """", ""https://drive.google.com/uc?export=view&amp;id="" &amp; REGEXEXTRACT(E96, ""/d/(.*)/""))"),"https://drive.google.com/uc?export=view&amp;id=1zJXrHqinjWSEcvOf8zNYhXvFFGC49Tbg")</f>
        <v>https://drive.google.com/uc?export=view&amp;id=1zJXrHqinjWSEcvOf8zNYhXvFFGC49Tbg</v>
      </c>
    </row>
    <row r="97">
      <c r="A97" s="25" t="s">
        <v>485</v>
      </c>
      <c r="B97" s="24" t="s">
        <v>486</v>
      </c>
      <c r="C97" s="24" t="s">
        <v>487</v>
      </c>
      <c r="D97" s="24" t="s">
        <v>488</v>
      </c>
      <c r="E97" s="28" t="s">
        <v>489</v>
      </c>
      <c r="F97" s="27" t="str">
        <f>IFERROR(__xludf.DUMMYFUNCTION("IF(E97="""", """", ""https://drive.google.com/uc?export=view&amp;id="" &amp; REGEXEXTRACT(E97, ""/d/(.*)/""))"),"https://drive.google.com/uc?export=view&amp;id=1SykO3UOgIy_yHnUWErzxMIF6pkqz2nDo")</f>
        <v>https://drive.google.com/uc?export=view&amp;id=1SykO3UOgIy_yHnUWErzxMIF6pkqz2nDo</v>
      </c>
    </row>
    <row r="98">
      <c r="A98" s="25" t="s">
        <v>490</v>
      </c>
      <c r="B98" s="24" t="s">
        <v>491</v>
      </c>
      <c r="C98" s="24" t="s">
        <v>492</v>
      </c>
      <c r="D98" s="25" t="s">
        <v>493</v>
      </c>
      <c r="E98" s="28" t="s">
        <v>494</v>
      </c>
      <c r="F98" s="27" t="str">
        <f>IFERROR(__xludf.DUMMYFUNCTION("IF(E98="""", """", ""https://drive.google.com/uc?export=view&amp;id="" &amp; REGEXEXTRACT(E98, ""/d/(.*)/""))"),"https://drive.google.com/uc?export=view&amp;id=108mRn_DjQym2jkd_qHJW1RqFFs_b6tK4")</f>
        <v>https://drive.google.com/uc?export=view&amp;id=108mRn_DjQym2jkd_qHJW1RqFFs_b6tK4</v>
      </c>
    </row>
    <row r="99">
      <c r="A99" s="25" t="s">
        <v>495</v>
      </c>
      <c r="B99" s="24" t="s">
        <v>496</v>
      </c>
      <c r="C99" s="24" t="s">
        <v>497</v>
      </c>
      <c r="D99" s="24" t="s">
        <v>498</v>
      </c>
      <c r="E99" s="28" t="s">
        <v>499</v>
      </c>
      <c r="F99" s="27" t="str">
        <f>IFERROR(__xludf.DUMMYFUNCTION("IF(E99="""", """", ""https://drive.google.com/uc?export=view&amp;id="" &amp; REGEXEXTRACT(E99, ""/d/(.*)/""))"),"https://drive.google.com/uc?export=view&amp;id=1gkKfwUJbsXBK3_mp3LCn59gMzC4Dj8tB")</f>
        <v>https://drive.google.com/uc?export=view&amp;id=1gkKfwUJbsXBK3_mp3LCn59gMzC4Dj8tB</v>
      </c>
    </row>
    <row r="100">
      <c r="A100" s="25" t="s">
        <v>500</v>
      </c>
      <c r="B100" s="24" t="s">
        <v>501</v>
      </c>
      <c r="C100" s="24" t="s">
        <v>502</v>
      </c>
      <c r="D100" s="24" t="s">
        <v>503</v>
      </c>
      <c r="E100" s="28" t="s">
        <v>504</v>
      </c>
      <c r="F100" s="27" t="str">
        <f>IFERROR(__xludf.DUMMYFUNCTION("IF(E100="""", """", ""https://drive.google.com/uc?export=view&amp;id="" &amp; REGEXEXTRACT(E100, ""/d/(.*)/""))"),"https://drive.google.com/uc?export=view&amp;id=1k3noqaRRNiEJzbucYArWXveYmcbr9827")</f>
        <v>https://drive.google.com/uc?export=view&amp;id=1k3noqaRRNiEJzbucYArWXveYmcbr9827</v>
      </c>
    </row>
    <row r="101">
      <c r="A101" s="25" t="s">
        <v>505</v>
      </c>
      <c r="B101" s="24" t="s">
        <v>506</v>
      </c>
      <c r="C101" s="24" t="s">
        <v>507</v>
      </c>
      <c r="D101" s="24" t="s">
        <v>508</v>
      </c>
      <c r="E101" s="28" t="s">
        <v>509</v>
      </c>
      <c r="F101" s="27" t="str">
        <f>IFERROR(__xludf.DUMMYFUNCTION("IF(E101="""", """", ""https://drive.google.com/uc?export=view&amp;id="" &amp; REGEXEXTRACT(E101, ""/d/(.*)/""))"),"https://drive.google.com/uc?export=view&amp;id=1pspQVmiWUDkcfoChhch7sQmYIp3M9eyQ")</f>
        <v>https://drive.google.com/uc?export=view&amp;id=1pspQVmiWUDkcfoChhch7sQmYIp3M9eyQ</v>
      </c>
    </row>
    <row r="102">
      <c r="A102" s="25" t="s">
        <v>510</v>
      </c>
      <c r="B102" s="24" t="s">
        <v>511</v>
      </c>
      <c r="C102" s="24" t="s">
        <v>512</v>
      </c>
      <c r="D102" s="24" t="s">
        <v>513</v>
      </c>
      <c r="E102" s="28" t="s">
        <v>514</v>
      </c>
      <c r="F102" s="27" t="str">
        <f>IFERROR(__xludf.DUMMYFUNCTION("IF(E102="""", """", ""https://drive.google.com/uc?export=view&amp;id="" &amp; REGEXEXTRACT(E102, ""/d/(.*)/""))"),"https://drive.google.com/uc?export=view&amp;id=17sy9abe36MDr7xTISqJzGI1tN1YSQAbY")</f>
        <v>https://drive.google.com/uc?export=view&amp;id=17sy9abe36MDr7xTISqJzGI1tN1YSQAbY</v>
      </c>
    </row>
    <row r="103">
      <c r="A103" s="25" t="s">
        <v>515</v>
      </c>
      <c r="B103" s="24" t="s">
        <v>516</v>
      </c>
      <c r="C103" s="24" t="s">
        <v>517</v>
      </c>
      <c r="D103" s="24" t="s">
        <v>518</v>
      </c>
      <c r="E103" s="28" t="s">
        <v>519</v>
      </c>
      <c r="F103" s="27" t="str">
        <f>IFERROR(__xludf.DUMMYFUNCTION("IF(E103="""", """", ""https://drive.google.com/uc?export=view&amp;id="" &amp; REGEXEXTRACT(E103, ""/d/(.*)/""))"),"https://drive.google.com/uc?export=view&amp;id=1GOdNRy5ja5LWORUqYvc9XlLqUm8wpWa4")</f>
        <v>https://drive.google.com/uc?export=view&amp;id=1GOdNRy5ja5LWORUqYvc9XlLqUm8wpWa4</v>
      </c>
    </row>
    <row r="104">
      <c r="A104" s="25" t="s">
        <v>520</v>
      </c>
      <c r="B104" s="24" t="s">
        <v>521</v>
      </c>
      <c r="C104" s="24" t="s">
        <v>522</v>
      </c>
      <c r="D104" s="24" t="s">
        <v>523</v>
      </c>
      <c r="E104" s="28" t="s">
        <v>524</v>
      </c>
      <c r="F104" s="27" t="str">
        <f>IFERROR(__xludf.DUMMYFUNCTION("IF(E104="""", """", ""https://drive.google.com/uc?export=view&amp;id="" &amp; REGEXEXTRACT(E104, ""/d/(.*)/""))"),"https://drive.google.com/uc?export=view&amp;id=1IEYNl38ZOXO8UPp1ntPdTskgjHcpdo_P")</f>
        <v>https://drive.google.com/uc?export=view&amp;id=1IEYNl38ZOXO8UPp1ntPdTskgjHcpdo_P</v>
      </c>
    </row>
    <row r="105">
      <c r="A105" s="25" t="s">
        <v>525</v>
      </c>
      <c r="B105" s="24" t="s">
        <v>526</v>
      </c>
      <c r="C105" s="24" t="s">
        <v>527</v>
      </c>
      <c r="D105" s="24" t="s">
        <v>528</v>
      </c>
      <c r="E105" s="28" t="s">
        <v>529</v>
      </c>
      <c r="F105" s="27" t="str">
        <f>IFERROR(__xludf.DUMMYFUNCTION("IF(E105="""", """", ""https://drive.google.com/uc?export=view&amp;id="" &amp; REGEXEXTRACT(E105, ""/d/(.*)/""))"),"https://drive.google.com/uc?export=view&amp;id=146JgxLj3i8xHlW4eRl3JmaQyybVITos4")</f>
        <v>https://drive.google.com/uc?export=view&amp;id=146JgxLj3i8xHlW4eRl3JmaQyybVITos4</v>
      </c>
    </row>
    <row r="106">
      <c r="A106" s="25" t="s">
        <v>530</v>
      </c>
      <c r="B106" s="24" t="s">
        <v>531</v>
      </c>
      <c r="C106" s="24" t="s">
        <v>527</v>
      </c>
      <c r="D106" s="24" t="s">
        <v>532</v>
      </c>
      <c r="E106" s="28" t="s">
        <v>533</v>
      </c>
      <c r="F106" s="27" t="str">
        <f>IFERROR(__xludf.DUMMYFUNCTION("IF(E106="""", """", ""https://drive.google.com/uc?export=view&amp;id="" &amp; REGEXEXTRACT(E106, ""/d/(.*)/""))"),"https://drive.google.com/uc?export=view&amp;id=1YM6A7EFdJoqRqMNXjauDJ6IWm6aFm8At")</f>
        <v>https://drive.google.com/uc?export=view&amp;id=1YM6A7EFdJoqRqMNXjauDJ6IWm6aFm8At</v>
      </c>
    </row>
    <row r="107">
      <c r="A107" s="25" t="s">
        <v>534</v>
      </c>
      <c r="B107" s="24" t="s">
        <v>535</v>
      </c>
      <c r="C107" s="24" t="s">
        <v>536</v>
      </c>
      <c r="D107" s="24" t="s">
        <v>537</v>
      </c>
      <c r="E107" s="28" t="s">
        <v>538</v>
      </c>
      <c r="F107" s="27" t="str">
        <f>IFERROR(__xludf.DUMMYFUNCTION("IF(E107="""", """", ""https://drive.google.com/uc?export=view&amp;id="" &amp; REGEXEXTRACT(E107, ""/d/(.*)/""))"),"https://drive.google.com/uc?export=view&amp;id=1Jq7F2-34qwnN2FeqM_iV8y22vXE0M1Tp")</f>
        <v>https://drive.google.com/uc?export=view&amp;id=1Jq7F2-34qwnN2FeqM_iV8y22vXE0M1Tp</v>
      </c>
    </row>
    <row r="108">
      <c r="A108" s="25" t="s">
        <v>539</v>
      </c>
      <c r="B108" s="24" t="s">
        <v>540</v>
      </c>
      <c r="C108" s="24" t="s">
        <v>541</v>
      </c>
      <c r="D108" s="24" t="s">
        <v>542</v>
      </c>
      <c r="E108" s="28" t="s">
        <v>543</v>
      </c>
      <c r="F108" s="27" t="str">
        <f>IFERROR(__xludf.DUMMYFUNCTION("IF(E108="""", """", ""https://drive.google.com/uc?export=view&amp;id="" &amp; REGEXEXTRACT(E108, ""/d/(.*)/""))"),"https://drive.google.com/uc?export=view&amp;id=1DM0zCwYIV0R3Bt_Kv7-YFT7uyv1kWYAU")</f>
        <v>https://drive.google.com/uc?export=view&amp;id=1DM0zCwYIV0R3Bt_Kv7-YFT7uyv1kWYAU</v>
      </c>
    </row>
    <row r="109">
      <c r="A109" s="25" t="s">
        <v>544</v>
      </c>
      <c r="B109" s="24" t="s">
        <v>545</v>
      </c>
      <c r="C109" s="24" t="s">
        <v>546</v>
      </c>
      <c r="D109" s="24" t="s">
        <v>547</v>
      </c>
      <c r="E109" s="28" t="s">
        <v>548</v>
      </c>
      <c r="F109" s="27" t="str">
        <f>IFERROR(__xludf.DUMMYFUNCTION("IF(E109="""", """", ""https://drive.google.com/uc?export=view&amp;id="" &amp; REGEXEXTRACT(E109, ""/d/(.*)/""))"),"https://drive.google.com/uc?export=view&amp;id=1sJy7PlLAnJNwsMfl1Kd8a1wIMc4bq54x")</f>
        <v>https://drive.google.com/uc?export=view&amp;id=1sJy7PlLAnJNwsMfl1Kd8a1wIMc4bq54x</v>
      </c>
    </row>
    <row r="110">
      <c r="A110" s="25" t="s">
        <v>549</v>
      </c>
      <c r="B110" s="24" t="s">
        <v>550</v>
      </c>
      <c r="C110" s="24" t="s">
        <v>551</v>
      </c>
      <c r="D110" s="24" t="s">
        <v>552</v>
      </c>
      <c r="E110" s="28" t="s">
        <v>553</v>
      </c>
      <c r="F110" s="27" t="str">
        <f>IFERROR(__xludf.DUMMYFUNCTION("IF(E110="""", """", ""https://drive.google.com/uc?export=view&amp;id="" &amp; REGEXEXTRACT(E110, ""/d/(.*)/""))"),"https://drive.google.com/uc?export=view&amp;id=1VB3-VBZktnj08gQ7c_6ef1yKEZeT-S_9")</f>
        <v>https://drive.google.com/uc?export=view&amp;id=1VB3-VBZktnj08gQ7c_6ef1yKEZeT-S_9</v>
      </c>
    </row>
    <row r="111">
      <c r="A111" s="25" t="s">
        <v>554</v>
      </c>
      <c r="B111" s="24" t="s">
        <v>555</v>
      </c>
      <c r="C111" s="24" t="s">
        <v>556</v>
      </c>
      <c r="D111" s="24" t="s">
        <v>557</v>
      </c>
      <c r="E111" s="28" t="s">
        <v>558</v>
      </c>
      <c r="F111" s="27" t="str">
        <f>IFERROR(__xludf.DUMMYFUNCTION("IF(E111="""", """", ""https://drive.google.com/uc?export=view&amp;id="" &amp; REGEXEXTRACT(E111, ""/d/(.*)/""))"),"https://drive.google.com/uc?export=view&amp;id=1SAYmndMIku8qN6RzKf2NVKxHuVARCU3i")</f>
        <v>https://drive.google.com/uc?export=view&amp;id=1SAYmndMIku8qN6RzKf2NVKxHuVARCU3i</v>
      </c>
    </row>
    <row r="112">
      <c r="A112" s="25" t="s">
        <v>559</v>
      </c>
      <c r="B112" s="24" t="s">
        <v>560</v>
      </c>
      <c r="C112" s="24" t="s">
        <v>561</v>
      </c>
      <c r="D112" s="24" t="s">
        <v>562</v>
      </c>
      <c r="E112" s="28" t="s">
        <v>563</v>
      </c>
      <c r="F112" s="27" t="str">
        <f>IFERROR(__xludf.DUMMYFUNCTION("IF(E112="""", """", ""https://drive.google.com/uc?export=view&amp;id="" &amp; REGEXEXTRACT(E112, ""/d/(.*)/""))"),"https://drive.google.com/uc?export=view&amp;id=1hrqnW6nRRtWwxYg5Ce1YsEQJkRY5tF6B")</f>
        <v>https://drive.google.com/uc?export=view&amp;id=1hrqnW6nRRtWwxYg5Ce1YsEQJkRY5tF6B</v>
      </c>
    </row>
    <row r="113">
      <c r="A113" s="25" t="s">
        <v>564</v>
      </c>
      <c r="B113" s="24" t="s">
        <v>565</v>
      </c>
      <c r="C113" s="24" t="s">
        <v>566</v>
      </c>
      <c r="D113" s="24" t="s">
        <v>567</v>
      </c>
      <c r="E113" s="28" t="s">
        <v>568</v>
      </c>
      <c r="F113" s="27" t="str">
        <f>IFERROR(__xludf.DUMMYFUNCTION("IF(E113="""", """", ""https://drive.google.com/uc?export=view&amp;id="" &amp; REGEXEXTRACT(E113, ""/d/(.*)/""))"),"https://drive.google.com/uc?export=view&amp;id=1cGxcu6RzQ4jhuxPfW-YL06Q4wx_viFKz")</f>
        <v>https://drive.google.com/uc?export=view&amp;id=1cGxcu6RzQ4jhuxPfW-YL06Q4wx_viFKz</v>
      </c>
    </row>
    <row r="114">
      <c r="A114" s="25" t="s">
        <v>569</v>
      </c>
      <c r="B114" s="24" t="s">
        <v>570</v>
      </c>
      <c r="C114" s="24" t="s">
        <v>571</v>
      </c>
      <c r="D114" s="24" t="s">
        <v>572</v>
      </c>
      <c r="E114" s="28" t="s">
        <v>573</v>
      </c>
      <c r="F114" s="27" t="str">
        <f>IFERROR(__xludf.DUMMYFUNCTION("IF(E114="""", """", ""https://drive.google.com/uc?export=view&amp;id="" &amp; REGEXEXTRACT(E114, ""/d/(.*)/""))"),"https://drive.google.com/uc?export=view&amp;id=12FmZmUtnhoS8XGay9mYTVtYCNIvVWO6_")</f>
        <v>https://drive.google.com/uc?export=view&amp;id=12FmZmUtnhoS8XGay9mYTVtYCNIvVWO6_</v>
      </c>
    </row>
    <row r="115">
      <c r="A115" s="25" t="s">
        <v>574</v>
      </c>
      <c r="B115" s="24" t="s">
        <v>575</v>
      </c>
      <c r="C115" s="24" t="s">
        <v>576</v>
      </c>
      <c r="D115" s="24" t="s">
        <v>577</v>
      </c>
      <c r="E115" s="28" t="s">
        <v>578</v>
      </c>
      <c r="F115" s="27" t="str">
        <f>IFERROR(__xludf.DUMMYFUNCTION("IF(E115="""", """", ""https://drive.google.com/uc?export=view&amp;id="" &amp; REGEXEXTRACT(E115, ""/d/(.*)/""))"),"https://drive.google.com/uc?export=view&amp;id=15DI_6pjmbDUy3RrRMk_OZWAdqda4Ksu0")</f>
        <v>https://drive.google.com/uc?export=view&amp;id=15DI_6pjmbDUy3RrRMk_OZWAdqda4Ksu0</v>
      </c>
    </row>
    <row r="116">
      <c r="A116" s="25" t="s">
        <v>579</v>
      </c>
      <c r="B116" s="24" t="s">
        <v>580</v>
      </c>
      <c r="C116" s="24" t="s">
        <v>581</v>
      </c>
      <c r="D116" s="24" t="s">
        <v>582</v>
      </c>
      <c r="E116" s="28" t="s">
        <v>583</v>
      </c>
      <c r="F116" s="27" t="str">
        <f>IFERROR(__xludf.DUMMYFUNCTION("IF(E116="""", """", ""https://drive.google.com/uc?export=view&amp;id="" &amp; REGEXEXTRACT(E116, ""/d/(.*)/""))"),"https://drive.google.com/uc?export=view&amp;id=1NGChOwZmkw6M3zQYWxhRxkoSOGhGuM7G")</f>
        <v>https://drive.google.com/uc?export=view&amp;id=1NGChOwZmkw6M3zQYWxhRxkoSOGhGuM7G</v>
      </c>
    </row>
    <row r="117">
      <c r="A117" s="25" t="s">
        <v>584</v>
      </c>
      <c r="B117" s="24" t="s">
        <v>585</v>
      </c>
      <c r="C117" s="24" t="s">
        <v>586</v>
      </c>
      <c r="D117" s="24" t="s">
        <v>587</v>
      </c>
      <c r="E117" s="28" t="s">
        <v>588</v>
      </c>
      <c r="F117" s="27" t="str">
        <f>IFERROR(__xludf.DUMMYFUNCTION("IF(E117="""", """", ""https://drive.google.com/uc?export=view&amp;id="" &amp; REGEXEXTRACT(E117, ""/d/(.*)/""))"),"https://drive.google.com/uc?export=view&amp;id=1R02VnJlKjzqwl6GefKg2Jmk3rqxX1fwK")</f>
        <v>https://drive.google.com/uc?export=view&amp;id=1R02VnJlKjzqwl6GefKg2Jmk3rqxX1fwK</v>
      </c>
    </row>
    <row r="118">
      <c r="A118" s="25" t="s">
        <v>589</v>
      </c>
      <c r="B118" s="24" t="s">
        <v>590</v>
      </c>
      <c r="C118" s="24" t="s">
        <v>591</v>
      </c>
      <c r="D118" s="24" t="s">
        <v>592</v>
      </c>
      <c r="E118" s="28" t="s">
        <v>593</v>
      </c>
      <c r="F118" s="27" t="str">
        <f>IFERROR(__xludf.DUMMYFUNCTION("IF(E118="""", """", ""https://drive.google.com/uc?export=view&amp;id="" &amp; REGEXEXTRACT(E118, ""/d/(.*)/""))"),"https://drive.google.com/uc?export=view&amp;id=1pk9eq3TpwTRBdoansEgXgWBLVtz9fap1")</f>
        <v>https://drive.google.com/uc?export=view&amp;id=1pk9eq3TpwTRBdoansEgXgWBLVtz9fap1</v>
      </c>
    </row>
    <row r="119">
      <c r="A119" s="25" t="s">
        <v>594</v>
      </c>
      <c r="B119" s="24" t="s">
        <v>595</v>
      </c>
      <c r="C119" s="24" t="s">
        <v>596</v>
      </c>
      <c r="D119" s="24" t="s">
        <v>597</v>
      </c>
      <c r="E119" s="28" t="s">
        <v>598</v>
      </c>
      <c r="F119" s="27" t="str">
        <f>IFERROR(__xludf.DUMMYFUNCTION("IF(E119="""", """", ""https://drive.google.com/uc?export=view&amp;id="" &amp; REGEXEXTRACT(E119, ""/d/(.*)/""))"),"https://drive.google.com/uc?export=view&amp;id=1kGJcTFs8HPRoJsrRQXeDA7yxvBd-2TI3")</f>
        <v>https://drive.google.com/uc?export=view&amp;id=1kGJcTFs8HPRoJsrRQXeDA7yxvBd-2TI3</v>
      </c>
    </row>
    <row r="120">
      <c r="A120" s="25" t="s">
        <v>599</v>
      </c>
      <c r="B120" s="24" t="s">
        <v>600</v>
      </c>
      <c r="C120" s="24" t="s">
        <v>601</v>
      </c>
      <c r="D120" s="25" t="s">
        <v>602</v>
      </c>
      <c r="E120" s="28" t="s">
        <v>603</v>
      </c>
      <c r="F120" s="27" t="str">
        <f>IFERROR(__xludf.DUMMYFUNCTION("IF(E120="""", """", ""https://drive.google.com/uc?export=view&amp;id="" &amp; REGEXEXTRACT(E120, ""/d/(.*)/""))"),"https://drive.google.com/uc?export=view&amp;id=1E58EEU4ZjNrKeiWa9psA_gtRxoFxxcQv")</f>
        <v>https://drive.google.com/uc?export=view&amp;id=1E58EEU4ZjNrKeiWa9psA_gtRxoFxxcQv</v>
      </c>
    </row>
    <row r="121">
      <c r="A121" s="25" t="s">
        <v>604</v>
      </c>
      <c r="B121" s="24" t="s">
        <v>605</v>
      </c>
      <c r="C121" s="24" t="s">
        <v>606</v>
      </c>
      <c r="D121" s="25" t="s">
        <v>607</v>
      </c>
      <c r="E121" s="28" t="s">
        <v>608</v>
      </c>
      <c r="F121" s="27" t="str">
        <f>IFERROR(__xludf.DUMMYFUNCTION("IF(E121="""", """", ""https://drive.google.com/uc?export=view&amp;id="" &amp; REGEXEXTRACT(E121, ""/d/(.*)/""))"),"https://drive.google.com/uc?export=view&amp;id=1y6IzDYs98FoTT5N7_yaFospC2E7J5Bef")</f>
        <v>https://drive.google.com/uc?export=view&amp;id=1y6IzDYs98FoTT5N7_yaFospC2E7J5Bef</v>
      </c>
    </row>
    <row r="122">
      <c r="A122" s="25" t="s">
        <v>609</v>
      </c>
      <c r="B122" s="24" t="s">
        <v>610</v>
      </c>
      <c r="C122" s="24" t="s">
        <v>187</v>
      </c>
      <c r="D122" s="24" t="s">
        <v>611</v>
      </c>
      <c r="E122" s="28" t="s">
        <v>612</v>
      </c>
      <c r="F122" s="27" t="str">
        <f>IFERROR(__xludf.DUMMYFUNCTION("IF(E122="""", """", ""https://drive.google.com/uc?export=view&amp;id="" &amp; REGEXEXTRACT(E122, ""/d/(.*)/""))"),"https://drive.google.com/uc?export=view&amp;id=1YtX2_keh_1Zbkn1vDJYe-7Be3T06hehR")</f>
        <v>https://drive.google.com/uc?export=view&amp;id=1YtX2_keh_1Zbkn1vDJYe-7Be3T06hehR</v>
      </c>
    </row>
    <row r="123">
      <c r="A123" s="25" t="s">
        <v>613</v>
      </c>
      <c r="B123" s="24" t="s">
        <v>614</v>
      </c>
      <c r="C123" s="24" t="s">
        <v>615</v>
      </c>
      <c r="D123" s="24" t="s">
        <v>616</v>
      </c>
      <c r="E123" s="28" t="s">
        <v>617</v>
      </c>
      <c r="F123" s="27" t="str">
        <f>IFERROR(__xludf.DUMMYFUNCTION("IF(E123="""", """", ""https://drive.google.com/uc?export=view&amp;id="" &amp; REGEXEXTRACT(E123, ""/d/(.*)/""))"),"https://drive.google.com/uc?export=view&amp;id=1PqCrJkLIrRJBSU5XuyiwhtHwvU1Aea4C")</f>
        <v>https://drive.google.com/uc?export=view&amp;id=1PqCrJkLIrRJBSU5XuyiwhtHwvU1Aea4C</v>
      </c>
    </row>
    <row r="124">
      <c r="A124" s="25" t="s">
        <v>618</v>
      </c>
      <c r="B124" s="24" t="s">
        <v>619</v>
      </c>
      <c r="C124" s="24" t="s">
        <v>187</v>
      </c>
      <c r="D124" s="24" t="s">
        <v>620</v>
      </c>
      <c r="E124" s="28" t="s">
        <v>621</v>
      </c>
      <c r="F124" s="27" t="str">
        <f>IFERROR(__xludf.DUMMYFUNCTION("IF(E124="""", """", ""https://drive.google.com/uc?export=view&amp;id="" &amp; REGEXEXTRACT(E124, ""/d/(.*)/""))"),"https://drive.google.com/uc?export=view&amp;id=1JZ2jacBZoFP1sqJTJCqQe49VEERlSyag")</f>
        <v>https://drive.google.com/uc?export=view&amp;id=1JZ2jacBZoFP1sqJTJCqQe49VEERlSyag</v>
      </c>
    </row>
    <row r="125">
      <c r="A125" s="25" t="s">
        <v>622</v>
      </c>
      <c r="B125" s="24" t="s">
        <v>623</v>
      </c>
      <c r="C125" s="24" t="s">
        <v>624</v>
      </c>
      <c r="D125" s="24" t="s">
        <v>625</v>
      </c>
      <c r="E125" s="28" t="s">
        <v>626</v>
      </c>
      <c r="F125" s="27" t="str">
        <f>IFERROR(__xludf.DUMMYFUNCTION("IF(E125="""", """", ""https://drive.google.com/uc?export=view&amp;id="" &amp; REGEXEXTRACT(E125, ""/d/(.*)/""))"),"https://drive.google.com/uc?export=view&amp;id=1bvvxwOBiLINeGD0UY48aWXne-hF7oecl")</f>
        <v>https://drive.google.com/uc?export=view&amp;id=1bvvxwOBiLINeGD0UY48aWXne-hF7oecl</v>
      </c>
    </row>
    <row r="126">
      <c r="A126" s="25" t="s">
        <v>627</v>
      </c>
      <c r="B126" s="24" t="s">
        <v>628</v>
      </c>
      <c r="C126" s="24" t="s">
        <v>629</v>
      </c>
      <c r="D126" s="24" t="s">
        <v>630</v>
      </c>
      <c r="E126" s="28" t="s">
        <v>631</v>
      </c>
      <c r="F126" s="27" t="str">
        <f>IFERROR(__xludf.DUMMYFUNCTION("IF(E126="""", """", ""https://drive.google.com/uc?export=view&amp;id="" &amp; REGEXEXTRACT(E126, ""/d/(.*)/""))"),"https://drive.google.com/uc?export=view&amp;id=1fpGP8NMLbIv5MoQNiTidzyaJ-iXJxefj")</f>
        <v>https://drive.google.com/uc?export=view&amp;id=1fpGP8NMLbIv5MoQNiTidzyaJ-iXJxefj</v>
      </c>
    </row>
    <row r="127">
      <c r="A127" s="25" t="s">
        <v>632</v>
      </c>
      <c r="B127" s="24" t="s">
        <v>633</v>
      </c>
      <c r="C127" s="24" t="s">
        <v>634</v>
      </c>
      <c r="D127" s="24" t="s">
        <v>635</v>
      </c>
      <c r="E127" s="28" t="s">
        <v>636</v>
      </c>
      <c r="F127" s="27" t="str">
        <f>IFERROR(__xludf.DUMMYFUNCTION("IF(E127="""", """", ""https://drive.google.com/uc?export=view&amp;id="" &amp; REGEXEXTRACT(E127, ""/d/(.*)/""))"),"https://drive.google.com/uc?export=view&amp;id=10WGK5eWZ1p2fog3egNegtdM08Zv05-FE")</f>
        <v>https://drive.google.com/uc?export=view&amp;id=10WGK5eWZ1p2fog3egNegtdM08Zv05-FE</v>
      </c>
    </row>
    <row r="128">
      <c r="A128" s="25" t="s">
        <v>637</v>
      </c>
      <c r="B128" s="24" t="s">
        <v>638</v>
      </c>
      <c r="C128" s="24" t="s">
        <v>639</v>
      </c>
      <c r="D128" s="24" t="s">
        <v>640</v>
      </c>
      <c r="E128" s="28" t="s">
        <v>641</v>
      </c>
      <c r="F128" s="27" t="str">
        <f>IFERROR(__xludf.DUMMYFUNCTION("IF(E128="""", """", ""https://drive.google.com/uc?export=view&amp;id="" &amp; REGEXEXTRACT(E128, ""/d/(.*)/""))"),"https://drive.google.com/uc?export=view&amp;id=16c9kYK_ONzW09PVSGo8YlCfbgNlb0ajO")</f>
        <v>https://drive.google.com/uc?export=view&amp;id=16c9kYK_ONzW09PVSGo8YlCfbgNlb0ajO</v>
      </c>
    </row>
    <row r="129">
      <c r="A129" s="25" t="s">
        <v>642</v>
      </c>
      <c r="B129" s="24" t="s">
        <v>643</v>
      </c>
      <c r="C129" s="24" t="s">
        <v>644</v>
      </c>
      <c r="D129" s="24" t="s">
        <v>645</v>
      </c>
      <c r="E129" s="28" t="s">
        <v>646</v>
      </c>
      <c r="F129" s="27" t="str">
        <f>IFERROR(__xludf.DUMMYFUNCTION("IF(E129="""", """", ""https://drive.google.com/uc?export=view&amp;id="" &amp; REGEXEXTRACT(E129, ""/d/(.*)/""))"),"https://drive.google.com/uc?export=view&amp;id=1pyhrp4xILU1sgntUVFNNqO0vLddGUnLZ")</f>
        <v>https://drive.google.com/uc?export=view&amp;id=1pyhrp4xILU1sgntUVFNNqO0vLddGUnLZ</v>
      </c>
    </row>
    <row r="130">
      <c r="A130" s="25" t="s">
        <v>647</v>
      </c>
      <c r="B130" s="24" t="s">
        <v>648</v>
      </c>
      <c r="C130" s="24" t="s">
        <v>649</v>
      </c>
      <c r="D130" s="24" t="s">
        <v>650</v>
      </c>
      <c r="E130" s="28" t="s">
        <v>651</v>
      </c>
      <c r="F130" s="27" t="str">
        <f>IFERROR(__xludf.DUMMYFUNCTION("IF(E130="""", """", ""https://drive.google.com/uc?export=view&amp;id="" &amp; REGEXEXTRACT(E130, ""/d/(.*)/""))"),"https://drive.google.com/uc?export=view&amp;id=1b7-IHi6GRiXgIgrmZ-qMb8vBsJLrbZqQ")</f>
        <v>https://drive.google.com/uc?export=view&amp;id=1b7-IHi6GRiXgIgrmZ-qMb8vBsJLrbZqQ</v>
      </c>
    </row>
    <row r="131">
      <c r="A131" s="25" t="s">
        <v>652</v>
      </c>
      <c r="B131" s="24" t="s">
        <v>653</v>
      </c>
      <c r="C131" s="24" t="s">
        <v>422</v>
      </c>
      <c r="D131" s="24" t="s">
        <v>572</v>
      </c>
      <c r="E131" s="28" t="s">
        <v>654</v>
      </c>
      <c r="F131" s="27" t="str">
        <f>IFERROR(__xludf.DUMMYFUNCTION("IF(E131="""", """", ""https://drive.google.com/uc?export=view&amp;id="" &amp; REGEXEXTRACT(E131, ""/d/(.*)/""))"),"https://drive.google.com/uc?export=view&amp;id=1Ng7kXG7u4lFfO_bGk6_HI44xNhp0hbrz")</f>
        <v>https://drive.google.com/uc?export=view&amp;id=1Ng7kXG7u4lFfO_bGk6_HI44xNhp0hbrz</v>
      </c>
    </row>
    <row r="132">
      <c r="A132" s="25" t="s">
        <v>655</v>
      </c>
      <c r="B132" s="24" t="s">
        <v>656</v>
      </c>
      <c r="C132" s="24" t="s">
        <v>657</v>
      </c>
      <c r="D132" s="24" t="s">
        <v>658</v>
      </c>
      <c r="E132" s="28" t="s">
        <v>659</v>
      </c>
      <c r="F132" s="27" t="str">
        <f>IFERROR(__xludf.DUMMYFUNCTION("IF(E132="""", """", ""https://drive.google.com/uc?export=view&amp;id="" &amp; REGEXEXTRACT(E132, ""/d/(.*)/""))"),"https://drive.google.com/uc?export=view&amp;id=1wgsUNYLEd0ssutK27Q0M03wh_vtT9Ahi")</f>
        <v>https://drive.google.com/uc?export=view&amp;id=1wgsUNYLEd0ssutK27Q0M03wh_vtT9Ahi</v>
      </c>
    </row>
    <row r="133">
      <c r="A133" s="25" t="s">
        <v>660</v>
      </c>
      <c r="B133" s="24" t="s">
        <v>661</v>
      </c>
      <c r="C133" s="24" t="s">
        <v>662</v>
      </c>
      <c r="D133" s="24" t="s">
        <v>663</v>
      </c>
      <c r="E133" s="28" t="s">
        <v>664</v>
      </c>
      <c r="F133" s="27" t="str">
        <f>IFERROR(__xludf.DUMMYFUNCTION("IF(E133="""", """", ""https://drive.google.com/uc?export=view&amp;id="" &amp; REGEXEXTRACT(E133, ""/d/(.*)/""))"),"https://drive.google.com/uc?export=view&amp;id=1QiULuLATduwbKHunktz7aR81uBSj6O_7")</f>
        <v>https://drive.google.com/uc?export=view&amp;id=1QiULuLATduwbKHunktz7aR81uBSj6O_7</v>
      </c>
    </row>
    <row r="134">
      <c r="A134" s="25" t="s">
        <v>665</v>
      </c>
      <c r="B134" s="24" t="s">
        <v>666</v>
      </c>
      <c r="C134" s="24" t="s">
        <v>667</v>
      </c>
      <c r="D134" s="24" t="s">
        <v>668</v>
      </c>
      <c r="E134" s="28" t="s">
        <v>669</v>
      </c>
      <c r="F134" s="27" t="str">
        <f>IFERROR(__xludf.DUMMYFUNCTION("IF(E134="""", """", ""https://drive.google.com/uc?export=view&amp;id="" &amp; REGEXEXTRACT(E134, ""/d/(.*)/""))"),"https://drive.google.com/uc?export=view&amp;id=1KspWe0i3nhsQvL2CLG0e9hbHB45S2ySM")</f>
        <v>https://drive.google.com/uc?export=view&amp;id=1KspWe0i3nhsQvL2CLG0e9hbHB45S2ySM</v>
      </c>
    </row>
    <row r="135">
      <c r="A135" s="25" t="s">
        <v>670</v>
      </c>
      <c r="B135" s="24" t="s">
        <v>671</v>
      </c>
      <c r="C135" s="24" t="s">
        <v>672</v>
      </c>
      <c r="D135" s="25" t="s">
        <v>673</v>
      </c>
      <c r="E135" s="28" t="s">
        <v>674</v>
      </c>
      <c r="F135" s="27" t="str">
        <f>IFERROR(__xludf.DUMMYFUNCTION("IF(E135="""", """", ""https://drive.google.com/uc?export=view&amp;id="" &amp; REGEXEXTRACT(E135, ""/d/(.*)/""))"),"https://drive.google.com/uc?export=view&amp;id=1JMlppermeV5hDufz-hJ5o6to1kp1zoH_")</f>
        <v>https://drive.google.com/uc?export=view&amp;id=1JMlppermeV5hDufz-hJ5o6to1kp1zoH_</v>
      </c>
    </row>
    <row r="136">
      <c r="A136" s="25" t="s">
        <v>675</v>
      </c>
      <c r="B136" s="24" t="s">
        <v>676</v>
      </c>
      <c r="C136" s="24" t="s">
        <v>677</v>
      </c>
      <c r="D136" s="25" t="s">
        <v>678</v>
      </c>
      <c r="E136" s="28" t="s">
        <v>679</v>
      </c>
      <c r="F136" s="27" t="str">
        <f>IFERROR(__xludf.DUMMYFUNCTION("IF(E136="""", """", ""https://drive.google.com/uc?export=view&amp;id="" &amp; REGEXEXTRACT(E136, ""/d/(.*)/""))"),"https://drive.google.com/uc?export=view&amp;id=1lkEHdOMoKgr2Pe9NlwUdt8BJdPpcuGGM")</f>
        <v>https://drive.google.com/uc?export=view&amp;id=1lkEHdOMoKgr2Pe9NlwUdt8BJdPpcuGGM</v>
      </c>
    </row>
    <row r="137">
      <c r="A137" s="25" t="s">
        <v>680</v>
      </c>
      <c r="B137" s="24" t="s">
        <v>681</v>
      </c>
      <c r="C137" s="24" t="s">
        <v>682</v>
      </c>
      <c r="D137" s="25" t="s">
        <v>683</v>
      </c>
      <c r="E137" s="28" t="s">
        <v>684</v>
      </c>
      <c r="F137" s="27" t="str">
        <f>IFERROR(__xludf.DUMMYFUNCTION("IF(E137="""", """", ""https://drive.google.com/uc?export=view&amp;id="" &amp; REGEXEXTRACT(E137, ""/d/(.*)/""))"),"https://drive.google.com/uc?export=view&amp;id=1dg0xgWDUbOrXQKTh_MkUWfsaemdVNDvk")</f>
        <v>https://drive.google.com/uc?export=view&amp;id=1dg0xgWDUbOrXQKTh_MkUWfsaemdVNDvk</v>
      </c>
    </row>
    <row r="138">
      <c r="A138" s="25" t="s">
        <v>685</v>
      </c>
      <c r="B138" s="24" t="s">
        <v>686</v>
      </c>
      <c r="C138" s="24" t="s">
        <v>687</v>
      </c>
      <c r="D138" s="24" t="s">
        <v>688</v>
      </c>
      <c r="E138" s="28" t="s">
        <v>689</v>
      </c>
      <c r="F138" s="27" t="str">
        <f>IFERROR(__xludf.DUMMYFUNCTION("IF(E138="""", """", ""https://drive.google.com/uc?export=view&amp;id="" &amp; REGEXEXTRACT(E138, ""/d/(.*)/""))"),"https://drive.google.com/uc?export=view&amp;id=1Kf2m8pKcblo2oFcUhFLD1RrEBwZdjZdV")</f>
        <v>https://drive.google.com/uc?export=view&amp;id=1Kf2m8pKcblo2oFcUhFLD1RrEBwZdjZdV</v>
      </c>
    </row>
    <row r="139">
      <c r="A139" s="25" t="s">
        <v>690</v>
      </c>
      <c r="B139" s="24" t="s">
        <v>691</v>
      </c>
      <c r="C139" s="24" t="s">
        <v>692</v>
      </c>
      <c r="D139" s="24" t="s">
        <v>693</v>
      </c>
      <c r="E139" s="28" t="s">
        <v>694</v>
      </c>
      <c r="F139" s="27" t="str">
        <f>IFERROR(__xludf.DUMMYFUNCTION("IF(E139="""", """", ""https://drive.google.com/uc?export=view&amp;id="" &amp; REGEXEXTRACT(E139, ""/d/(.*)/""))"),"https://drive.google.com/uc?export=view&amp;id=1VEiwtHaEiN-lBzhSbQLLlnLuQyr4Kxre")</f>
        <v>https://drive.google.com/uc?export=view&amp;id=1VEiwtHaEiN-lBzhSbQLLlnLuQyr4Kxre</v>
      </c>
    </row>
    <row r="140">
      <c r="A140" s="25" t="s">
        <v>695</v>
      </c>
      <c r="B140" s="24" t="s">
        <v>696</v>
      </c>
      <c r="C140" s="24" t="s">
        <v>697</v>
      </c>
      <c r="D140" s="24" t="s">
        <v>698</v>
      </c>
      <c r="E140" s="28" t="s">
        <v>699</v>
      </c>
      <c r="F140" s="27" t="str">
        <f>IFERROR(__xludf.DUMMYFUNCTION("IF(E140="""", """", ""https://drive.google.com/uc?export=view&amp;id="" &amp; REGEXEXTRACT(E140, ""/d/(.*)/""))"),"https://drive.google.com/uc?export=view&amp;id=121iE4dkAqN7YQuxH5Vilq1n6s8r90css")</f>
        <v>https://drive.google.com/uc?export=view&amp;id=121iE4dkAqN7YQuxH5Vilq1n6s8r90css</v>
      </c>
    </row>
    <row r="141">
      <c r="A141" s="25" t="s">
        <v>700</v>
      </c>
      <c r="B141" s="24" t="s">
        <v>701</v>
      </c>
      <c r="C141" s="24" t="s">
        <v>702</v>
      </c>
      <c r="D141" s="24" t="s">
        <v>703</v>
      </c>
      <c r="E141" s="28" t="s">
        <v>704</v>
      </c>
      <c r="F141" s="27" t="str">
        <f>IFERROR(__xludf.DUMMYFUNCTION("IF(E141="""", """", ""https://drive.google.com/uc?export=view&amp;id="" &amp; REGEXEXTRACT(E141, ""/d/(.*)/""))"),"https://drive.google.com/uc?export=view&amp;id=1uUZiAsBCJL2H-6e2ETtUiqpP7GRdLBUU")</f>
        <v>https://drive.google.com/uc?export=view&amp;id=1uUZiAsBCJL2H-6e2ETtUiqpP7GRdLBUU</v>
      </c>
    </row>
    <row r="142">
      <c r="A142" s="25" t="s">
        <v>705</v>
      </c>
      <c r="B142" s="24" t="s">
        <v>706</v>
      </c>
      <c r="C142" s="24" t="s">
        <v>707</v>
      </c>
      <c r="D142" s="24" t="s">
        <v>708</v>
      </c>
      <c r="E142" s="28" t="s">
        <v>709</v>
      </c>
      <c r="F142" s="27" t="str">
        <f>IFERROR(__xludf.DUMMYFUNCTION("IF(E142="""", """", ""https://drive.google.com/uc?export=view&amp;id="" &amp; REGEXEXTRACT(E142, ""/d/(.*)/""))"),"https://drive.google.com/uc?export=view&amp;id=1E4Vyb-c47trp4SNcqwz4fla3fCFG3HsU")</f>
        <v>https://drive.google.com/uc?export=view&amp;id=1E4Vyb-c47trp4SNcqwz4fla3fCFG3HsU</v>
      </c>
    </row>
    <row r="143">
      <c r="A143" s="25" t="s">
        <v>710</v>
      </c>
      <c r="B143" s="24" t="s">
        <v>711</v>
      </c>
      <c r="C143" s="24" t="s">
        <v>712</v>
      </c>
      <c r="D143" s="24" t="s">
        <v>713</v>
      </c>
      <c r="E143" s="28" t="s">
        <v>714</v>
      </c>
      <c r="F143" s="27" t="str">
        <f>IFERROR(__xludf.DUMMYFUNCTION("IF(E143="""", """", ""https://drive.google.com/uc?export=view&amp;id="" &amp; REGEXEXTRACT(E143, ""/d/(.*)/""))"),"https://drive.google.com/uc?export=view&amp;id=13teYUEJFzjsGwSLKb9nbb_v1a8LQVCHd")</f>
        <v>https://drive.google.com/uc?export=view&amp;id=13teYUEJFzjsGwSLKb9nbb_v1a8LQVCHd</v>
      </c>
    </row>
    <row r="144">
      <c r="A144" s="25" t="s">
        <v>715</v>
      </c>
      <c r="B144" s="24" t="s">
        <v>716</v>
      </c>
      <c r="C144" s="24" t="s">
        <v>717</v>
      </c>
      <c r="D144" s="24" t="s">
        <v>718</v>
      </c>
      <c r="E144" s="28" t="s">
        <v>719</v>
      </c>
      <c r="F144" s="27" t="str">
        <f>IFERROR(__xludf.DUMMYFUNCTION("IF(E144="""", """", ""https://drive.google.com/uc?export=view&amp;id="" &amp; REGEXEXTRACT(E144, ""/d/(.*)/""))"),"https://drive.google.com/uc?export=view&amp;id=1XNUingTp0kd11uwMt9vuE64xjrDT6FGy")</f>
        <v>https://drive.google.com/uc?export=view&amp;id=1XNUingTp0kd11uwMt9vuE64xjrDT6FGy</v>
      </c>
    </row>
    <row r="145">
      <c r="A145" s="25" t="s">
        <v>720</v>
      </c>
      <c r="B145" s="24" t="s">
        <v>721</v>
      </c>
      <c r="C145" s="24" t="s">
        <v>722</v>
      </c>
      <c r="D145" s="24" t="s">
        <v>723</v>
      </c>
      <c r="E145" s="28" t="s">
        <v>724</v>
      </c>
      <c r="F145" s="27" t="str">
        <f>IFERROR(__xludf.DUMMYFUNCTION("IF(E145="""", """", ""https://drive.google.com/uc?export=view&amp;id="" &amp; REGEXEXTRACT(E145, ""/d/(.*)/""))"),"https://drive.google.com/uc?export=view&amp;id=1enmTRQoZdQWg6OJ0as8oKbBHJbMPvL7j")</f>
        <v>https://drive.google.com/uc?export=view&amp;id=1enmTRQoZdQWg6OJ0as8oKbBHJbMPvL7j</v>
      </c>
    </row>
    <row r="146">
      <c r="A146" s="25" t="s">
        <v>725</v>
      </c>
      <c r="B146" s="24" t="s">
        <v>726</v>
      </c>
      <c r="C146" s="24" t="s">
        <v>727</v>
      </c>
      <c r="D146" s="24" t="s">
        <v>728</v>
      </c>
      <c r="E146" s="28" t="s">
        <v>729</v>
      </c>
      <c r="F146" s="27" t="str">
        <f>IFERROR(__xludf.DUMMYFUNCTION("IF(E146="""", """", ""https://drive.google.com/uc?export=view&amp;id="" &amp; REGEXEXTRACT(E146, ""/d/(.*)/""))"),"https://drive.google.com/uc?export=view&amp;id=1IR1TK-FHKQh4XwwXgsSq7FkylOxUSYXf")</f>
        <v>https://drive.google.com/uc?export=view&amp;id=1IR1TK-FHKQh4XwwXgsSq7FkylOxUSYXf</v>
      </c>
    </row>
    <row r="147">
      <c r="A147" s="25" t="s">
        <v>730</v>
      </c>
      <c r="B147" s="24" t="s">
        <v>731</v>
      </c>
      <c r="C147" s="24" t="s">
        <v>732</v>
      </c>
      <c r="D147" s="25" t="s">
        <v>733</v>
      </c>
      <c r="E147" s="28" t="s">
        <v>734</v>
      </c>
      <c r="F147" s="27" t="str">
        <f>IFERROR(__xludf.DUMMYFUNCTION("IF(E147="""", """", ""https://drive.google.com/uc?export=view&amp;id="" &amp; REGEXEXTRACT(E147, ""/d/(.*)/""))"),"https://drive.google.com/uc?export=view&amp;id=17_cQhUb49THeSyMLG8W3TMECWXe6w1MJ")</f>
        <v>https://drive.google.com/uc?export=view&amp;id=17_cQhUb49THeSyMLG8W3TMECWXe6w1MJ</v>
      </c>
    </row>
    <row r="148">
      <c r="A148" s="25" t="s">
        <v>735</v>
      </c>
      <c r="B148" s="24" t="s">
        <v>736</v>
      </c>
      <c r="C148" s="24" t="s">
        <v>737</v>
      </c>
      <c r="D148" s="24" t="s">
        <v>738</v>
      </c>
      <c r="E148" s="28" t="s">
        <v>739</v>
      </c>
      <c r="F148" s="27" t="str">
        <f>IFERROR(__xludf.DUMMYFUNCTION("IF(E148="""", """", ""https://drive.google.com/uc?export=view&amp;id="" &amp; REGEXEXTRACT(E148, ""/d/(.*)/""))"),"https://drive.google.com/uc?export=view&amp;id=1qLMZjbLaC4CmCdiV3uJ13CYju79j9gKw")</f>
        <v>https://drive.google.com/uc?export=view&amp;id=1qLMZjbLaC4CmCdiV3uJ13CYju79j9gKw</v>
      </c>
    </row>
    <row r="149">
      <c r="A149" s="25" t="s">
        <v>740</v>
      </c>
      <c r="B149" s="24" t="s">
        <v>741</v>
      </c>
      <c r="C149" s="24" t="s">
        <v>742</v>
      </c>
      <c r="D149" s="24" t="s">
        <v>743</v>
      </c>
      <c r="E149" s="28" t="s">
        <v>744</v>
      </c>
      <c r="F149" s="27" t="str">
        <f>IFERROR(__xludf.DUMMYFUNCTION("IF(E149="""", """", ""https://drive.google.com/uc?export=view&amp;id="" &amp; REGEXEXTRACT(E149, ""/d/(.*)/""))"),"https://drive.google.com/uc?export=view&amp;id=1g5NGzbvPExmYd0HZAtM8w-BwibDD4TJC")</f>
        <v>https://drive.google.com/uc?export=view&amp;id=1g5NGzbvPExmYd0HZAtM8w-BwibDD4TJC</v>
      </c>
    </row>
    <row r="150">
      <c r="A150" s="25" t="s">
        <v>745</v>
      </c>
      <c r="B150" s="24" t="s">
        <v>746</v>
      </c>
      <c r="C150" s="24" t="s">
        <v>747</v>
      </c>
      <c r="D150" s="25" t="s">
        <v>748</v>
      </c>
      <c r="E150" s="28" t="s">
        <v>749</v>
      </c>
      <c r="F150" s="27" t="str">
        <f>IFERROR(__xludf.DUMMYFUNCTION("IF(E150="""", """", ""https://drive.google.com/uc?export=view&amp;id="" &amp; REGEXEXTRACT(E150, ""/d/(.*)/""))"),"https://drive.google.com/uc?export=view&amp;id=16aWA0eVvWVXK9OSnZxDMteeKqpirhJ6-")</f>
        <v>https://drive.google.com/uc?export=view&amp;id=16aWA0eVvWVXK9OSnZxDMteeKqpirhJ6-</v>
      </c>
    </row>
    <row r="151">
      <c r="A151" s="25" t="s">
        <v>750</v>
      </c>
      <c r="B151" s="24" t="s">
        <v>751</v>
      </c>
      <c r="C151" s="24" t="s">
        <v>752</v>
      </c>
      <c r="D151" s="24" t="s">
        <v>753</v>
      </c>
      <c r="E151" s="28" t="s">
        <v>754</v>
      </c>
      <c r="F151" s="27" t="str">
        <f>IFERROR(__xludf.DUMMYFUNCTION("IF(E151="""", """", ""https://drive.google.com/uc?export=view&amp;id="" &amp; REGEXEXTRACT(E151, ""/d/(.*)/""))"),"https://drive.google.com/uc?export=view&amp;id=1DOszPxMhJQz4Z7Kh3ACzUdomocd6tK9U")</f>
        <v>https://drive.google.com/uc?export=view&amp;id=1DOszPxMhJQz4Z7Kh3ACzUdomocd6tK9U</v>
      </c>
    </row>
    <row r="152">
      <c r="A152" s="25" t="s">
        <v>755</v>
      </c>
      <c r="B152" s="24" t="s">
        <v>756</v>
      </c>
      <c r="C152" s="24" t="s">
        <v>757</v>
      </c>
      <c r="D152" s="24" t="s">
        <v>758</v>
      </c>
      <c r="E152" s="28" t="s">
        <v>759</v>
      </c>
      <c r="F152" s="27" t="str">
        <f>IFERROR(__xludf.DUMMYFUNCTION("IF(E152="""", """", ""https://drive.google.com/uc?export=view&amp;id="" &amp; REGEXEXTRACT(E152, ""/d/(.*)/""))"),"https://drive.google.com/uc?export=view&amp;id=10zyYH8mC-qoUrVI-zqqmyhlHwFuTmbUT")</f>
        <v>https://drive.google.com/uc?export=view&amp;id=10zyYH8mC-qoUrVI-zqqmyhlHwFuTmbUT</v>
      </c>
    </row>
    <row r="153">
      <c r="A153" s="25" t="s">
        <v>760</v>
      </c>
      <c r="B153" s="24" t="s">
        <v>761</v>
      </c>
      <c r="C153" s="24" t="s">
        <v>762</v>
      </c>
      <c r="D153" s="24" t="s">
        <v>763</v>
      </c>
      <c r="E153" s="28" t="s">
        <v>764</v>
      </c>
      <c r="F153" s="27" t="str">
        <f>IFERROR(__xludf.DUMMYFUNCTION("IF(E153="""", """", ""https://drive.google.com/uc?export=view&amp;id="" &amp; REGEXEXTRACT(E153, ""/d/(.*)/""))"),"https://drive.google.com/uc?export=view&amp;id=1jsglTAiKNoWlU3JBHE6Hx-YqUfHBWskT")</f>
        <v>https://drive.google.com/uc?export=view&amp;id=1jsglTAiKNoWlU3JBHE6Hx-YqUfHBWskT</v>
      </c>
    </row>
    <row r="154">
      <c r="A154" s="25" t="s">
        <v>765</v>
      </c>
      <c r="B154" s="24" t="s">
        <v>766</v>
      </c>
      <c r="C154" s="24" t="s">
        <v>767</v>
      </c>
      <c r="D154" s="25" t="s">
        <v>768</v>
      </c>
      <c r="E154" s="28" t="s">
        <v>769</v>
      </c>
      <c r="F154" s="27" t="str">
        <f>IFERROR(__xludf.DUMMYFUNCTION("IF(E154="""", """", ""https://drive.google.com/uc?export=view&amp;id="" &amp; REGEXEXTRACT(E154, ""/d/(.*)/""))"),"https://drive.google.com/uc?export=view&amp;id=15wwHiLP9d3w8xx41KBH7qCN5FmvLq62u")</f>
        <v>https://drive.google.com/uc?export=view&amp;id=15wwHiLP9d3w8xx41KBH7qCN5FmvLq62u</v>
      </c>
    </row>
    <row r="155">
      <c r="A155" s="25" t="s">
        <v>770</v>
      </c>
      <c r="B155" s="24" t="s">
        <v>771</v>
      </c>
      <c r="C155" s="24" t="s">
        <v>772</v>
      </c>
      <c r="D155" s="25" t="s">
        <v>773</v>
      </c>
      <c r="E155" s="28" t="s">
        <v>774</v>
      </c>
      <c r="F155" s="27" t="str">
        <f>IFERROR(__xludf.DUMMYFUNCTION("IF(E155="""", """", ""https://drive.google.com/uc?export=view&amp;id="" &amp; REGEXEXTRACT(E155, ""/d/(.*)/""))"),"https://drive.google.com/uc?export=view&amp;id=1kWtxt6RjmeHCHl7-Gv_fLlhJbSH8jPjF")</f>
        <v>https://drive.google.com/uc?export=view&amp;id=1kWtxt6RjmeHCHl7-Gv_fLlhJbSH8jPjF</v>
      </c>
    </row>
    <row r="156">
      <c r="A156" s="25" t="s">
        <v>775</v>
      </c>
      <c r="B156" s="24" t="s">
        <v>776</v>
      </c>
      <c r="C156" s="24" t="s">
        <v>777</v>
      </c>
      <c r="D156" s="24" t="s">
        <v>778</v>
      </c>
      <c r="E156" s="28" t="s">
        <v>779</v>
      </c>
      <c r="F156" s="27" t="str">
        <f>IFERROR(__xludf.DUMMYFUNCTION("IF(E156="""", """", ""https://drive.google.com/uc?export=view&amp;id="" &amp; REGEXEXTRACT(E156, ""/d/(.*)/""))"),"https://drive.google.com/uc?export=view&amp;id=1TP-I2a6YvhGosynrW8lN5GyU32Njun4m")</f>
        <v>https://drive.google.com/uc?export=view&amp;id=1TP-I2a6YvhGosynrW8lN5GyU32Njun4m</v>
      </c>
    </row>
    <row r="157">
      <c r="A157" s="25" t="s">
        <v>780</v>
      </c>
      <c r="B157" s="24" t="s">
        <v>781</v>
      </c>
      <c r="C157" s="24" t="s">
        <v>782</v>
      </c>
      <c r="D157" s="25" t="s">
        <v>783</v>
      </c>
      <c r="E157" s="28" t="s">
        <v>784</v>
      </c>
      <c r="F157" s="27" t="str">
        <f>IFERROR(__xludf.DUMMYFUNCTION("IF(E157="""", """", ""https://drive.google.com/uc?export=view&amp;id="" &amp; REGEXEXTRACT(E157, ""/d/(.*)/""))"),"https://drive.google.com/uc?export=view&amp;id=1Ig1Ifx9HsUcd2nPQZXqTwVhg4CQE76QR")</f>
        <v>https://drive.google.com/uc?export=view&amp;id=1Ig1Ifx9HsUcd2nPQZXqTwVhg4CQE76QR</v>
      </c>
    </row>
    <row r="158">
      <c r="A158" s="25" t="s">
        <v>785</v>
      </c>
      <c r="B158" s="24" t="s">
        <v>786</v>
      </c>
      <c r="C158" s="24" t="s">
        <v>787</v>
      </c>
      <c r="D158" s="24" t="s">
        <v>788</v>
      </c>
      <c r="E158" s="28" t="s">
        <v>789</v>
      </c>
      <c r="F158" s="27" t="str">
        <f>IFERROR(__xludf.DUMMYFUNCTION("IF(E158="""", """", ""https://drive.google.com/uc?export=view&amp;id="" &amp; REGEXEXTRACT(E158, ""/d/(.*)/""))"),"https://drive.google.com/uc?export=view&amp;id=1WtVn0SYC_Hk4gHb_NSzTJq7N4y7g-6l-")</f>
        <v>https://drive.google.com/uc?export=view&amp;id=1WtVn0SYC_Hk4gHb_NSzTJq7N4y7g-6l-</v>
      </c>
    </row>
    <row r="159">
      <c r="A159" s="25" t="s">
        <v>790</v>
      </c>
      <c r="B159" s="24" t="s">
        <v>791</v>
      </c>
      <c r="C159" s="24" t="s">
        <v>792</v>
      </c>
      <c r="D159" s="25" t="s">
        <v>793</v>
      </c>
      <c r="E159" s="28" t="s">
        <v>794</v>
      </c>
      <c r="F159" s="27" t="str">
        <f>IFERROR(__xludf.DUMMYFUNCTION("IF(E159="""", """", ""https://drive.google.com/uc?export=view&amp;id="" &amp; REGEXEXTRACT(E159, ""/d/(.*)/""))"),"https://drive.google.com/uc?export=view&amp;id=1iJ4soSHnnmVHz8kuQeMBM2qzJ62i0BNv")</f>
        <v>https://drive.google.com/uc?export=view&amp;id=1iJ4soSHnnmVHz8kuQeMBM2qzJ62i0BNv</v>
      </c>
    </row>
    <row r="160">
      <c r="A160" s="25" t="s">
        <v>795</v>
      </c>
      <c r="B160" s="24" t="s">
        <v>796</v>
      </c>
      <c r="C160" s="24" t="s">
        <v>797</v>
      </c>
      <c r="D160" s="24" t="s">
        <v>798</v>
      </c>
      <c r="E160" s="28" t="s">
        <v>799</v>
      </c>
      <c r="F160" s="27" t="str">
        <f>IFERROR(__xludf.DUMMYFUNCTION("IF(E160="""", """", ""https://drive.google.com/uc?export=view&amp;id="" &amp; REGEXEXTRACT(E160, ""/d/(.*)/""))"),"https://drive.google.com/uc?export=view&amp;id=1YTn7ymLWuwglsfxIxHAr9aE3Ge3p7FjS")</f>
        <v>https://drive.google.com/uc?export=view&amp;id=1YTn7ymLWuwglsfxIxHAr9aE3Ge3p7FjS</v>
      </c>
    </row>
    <row r="161">
      <c r="A161" s="25" t="s">
        <v>800</v>
      </c>
      <c r="B161" s="24" t="s">
        <v>801</v>
      </c>
      <c r="C161" s="24" t="s">
        <v>802</v>
      </c>
      <c r="D161" s="25" t="s">
        <v>803</v>
      </c>
      <c r="E161" s="28" t="s">
        <v>804</v>
      </c>
      <c r="F161" s="27" t="str">
        <f>IFERROR(__xludf.DUMMYFUNCTION("IF(E161="""", """", ""https://drive.google.com/uc?export=view&amp;id="" &amp; REGEXEXTRACT(E161, ""/d/(.*)/""))"),"https://drive.google.com/uc?export=view&amp;id=13Mkg8ihhd0rbO2qCKNCojtuygq4Fgx2w")</f>
        <v>https://drive.google.com/uc?export=view&amp;id=13Mkg8ihhd0rbO2qCKNCojtuygq4Fgx2w</v>
      </c>
    </row>
    <row r="162">
      <c r="A162" s="25" t="s">
        <v>805</v>
      </c>
      <c r="B162" s="24" t="s">
        <v>806</v>
      </c>
      <c r="C162" s="24" t="s">
        <v>807</v>
      </c>
      <c r="D162" s="25" t="s">
        <v>808</v>
      </c>
      <c r="E162" s="28" t="s">
        <v>809</v>
      </c>
      <c r="F162" s="27" t="str">
        <f>IFERROR(__xludf.DUMMYFUNCTION("IF(E162="""", """", ""https://drive.google.com/uc?export=view&amp;id="" &amp; REGEXEXTRACT(E162, ""/d/(.*)/""))"),"https://drive.google.com/uc?export=view&amp;id=1IAWdtvi_kLkW8Eyq7Ec3qe8Y8yt23dKC")</f>
        <v>https://drive.google.com/uc?export=view&amp;id=1IAWdtvi_kLkW8Eyq7Ec3qe8Y8yt23dKC</v>
      </c>
    </row>
    <row r="163">
      <c r="A163" s="25" t="s">
        <v>810</v>
      </c>
      <c r="B163" s="24" t="s">
        <v>811</v>
      </c>
      <c r="C163" s="24" t="s">
        <v>812</v>
      </c>
      <c r="D163" s="25" t="s">
        <v>813</v>
      </c>
      <c r="E163" s="28" t="s">
        <v>814</v>
      </c>
      <c r="F163" s="27" t="str">
        <f>IFERROR(__xludf.DUMMYFUNCTION("IF(E163="""", """", ""https://drive.google.com/uc?export=view&amp;id="" &amp; REGEXEXTRACT(E163, ""/d/(.*)/""))"),"https://drive.google.com/uc?export=view&amp;id=1ob8nlaa0AZeB_wQaE9w2nk12vcAAi-mw")</f>
        <v>https://drive.google.com/uc?export=view&amp;id=1ob8nlaa0AZeB_wQaE9w2nk12vcAAi-mw</v>
      </c>
    </row>
    <row r="164">
      <c r="A164" s="25" t="s">
        <v>815</v>
      </c>
      <c r="B164" s="24" t="s">
        <v>816</v>
      </c>
      <c r="C164" s="24" t="s">
        <v>817</v>
      </c>
      <c r="D164" s="24" t="s">
        <v>818</v>
      </c>
      <c r="E164" s="28" t="s">
        <v>819</v>
      </c>
      <c r="F164" s="27" t="str">
        <f>IFERROR(__xludf.DUMMYFUNCTION("IF(E164="""", """", ""https://drive.google.com/uc?export=view&amp;id="" &amp; REGEXEXTRACT(E164, ""/d/(.*)/""))"),"https://drive.google.com/uc?export=view&amp;id=1iW3L_TpupM7D6MPe0xebvGmEVQSS7mn4")</f>
        <v>https://drive.google.com/uc?export=view&amp;id=1iW3L_TpupM7D6MPe0xebvGmEVQSS7mn4</v>
      </c>
    </row>
    <row r="165">
      <c r="A165" s="25" t="s">
        <v>820</v>
      </c>
      <c r="B165" s="24" t="s">
        <v>821</v>
      </c>
      <c r="C165" s="24" t="s">
        <v>822</v>
      </c>
      <c r="D165" s="25" t="s">
        <v>823</v>
      </c>
      <c r="E165" s="28" t="s">
        <v>824</v>
      </c>
      <c r="F165" s="27" t="str">
        <f>IFERROR(__xludf.DUMMYFUNCTION("IF(E165="""", """", ""https://drive.google.com/uc?export=view&amp;id="" &amp; REGEXEXTRACT(E165, ""/d/(.*)/""))"),"https://drive.google.com/uc?export=view&amp;id=1ZDRpuEeP7lAPMilE4N4HGiFL37O5TXPH")</f>
        <v>https://drive.google.com/uc?export=view&amp;id=1ZDRpuEeP7lAPMilE4N4HGiFL37O5TXPH</v>
      </c>
    </row>
    <row r="166">
      <c r="A166" s="25" t="s">
        <v>825</v>
      </c>
      <c r="B166" s="24" t="s">
        <v>826</v>
      </c>
      <c r="C166" s="24" t="s">
        <v>827</v>
      </c>
      <c r="D166" s="24" t="s">
        <v>828</v>
      </c>
      <c r="E166" s="28" t="s">
        <v>829</v>
      </c>
      <c r="F166" s="27" t="str">
        <f>IFERROR(__xludf.DUMMYFUNCTION("IF(E166="""", """", ""https://drive.google.com/uc?export=view&amp;id="" &amp; REGEXEXTRACT(E166, ""/d/(.*)/""))"),"https://drive.google.com/uc?export=view&amp;id=1wq2nyzMn1XPKWnChrjqhIcmj9-fyTkCL")</f>
        <v>https://drive.google.com/uc?export=view&amp;id=1wq2nyzMn1XPKWnChrjqhIcmj9-fyTkCL</v>
      </c>
    </row>
    <row r="167">
      <c r="A167" s="25" t="s">
        <v>830</v>
      </c>
      <c r="B167" s="24" t="s">
        <v>831</v>
      </c>
      <c r="C167" s="24" t="s">
        <v>832</v>
      </c>
      <c r="D167" s="25" t="s">
        <v>833</v>
      </c>
      <c r="E167" s="28" t="s">
        <v>834</v>
      </c>
      <c r="F167" s="27" t="str">
        <f>IFERROR(__xludf.DUMMYFUNCTION("IF(E167="""", """", ""https://drive.google.com/uc?export=view&amp;id="" &amp; REGEXEXTRACT(E167, ""/d/(.*)/""))"),"https://drive.google.com/uc?export=view&amp;id=10Bm_ACEtInW9IP7o8oyIymUKFGyvJErD")</f>
        <v>https://drive.google.com/uc?export=view&amp;id=10Bm_ACEtInW9IP7o8oyIymUKFGyvJErD</v>
      </c>
    </row>
    <row r="168">
      <c r="A168" s="25" t="s">
        <v>835</v>
      </c>
      <c r="B168" s="24" t="s">
        <v>836</v>
      </c>
      <c r="C168" s="24" t="s">
        <v>837</v>
      </c>
      <c r="D168" s="24" t="s">
        <v>838</v>
      </c>
      <c r="E168" s="28" t="s">
        <v>839</v>
      </c>
      <c r="F168" s="27" t="str">
        <f>IFERROR(__xludf.DUMMYFUNCTION("IF(E168="""", """", ""https://drive.google.com/uc?export=view&amp;id="" &amp; REGEXEXTRACT(E168, ""/d/(.*)/""))"),"https://drive.google.com/uc?export=view&amp;id=1Xha6osGCVf8EaGciz861bLNQVz_JBaur")</f>
        <v>https://drive.google.com/uc?export=view&amp;id=1Xha6osGCVf8EaGciz861bLNQVz_JBaur</v>
      </c>
    </row>
    <row r="169">
      <c r="A169" s="25" t="s">
        <v>840</v>
      </c>
      <c r="B169" s="24" t="s">
        <v>841</v>
      </c>
      <c r="C169" s="24" t="s">
        <v>842</v>
      </c>
      <c r="D169" s="25" t="s">
        <v>843</v>
      </c>
      <c r="E169" s="28" t="s">
        <v>844</v>
      </c>
      <c r="F169" s="27" t="str">
        <f>IFERROR(__xludf.DUMMYFUNCTION("IF(E169="""", """", ""https://drive.google.com/uc?export=view&amp;id="" &amp; REGEXEXTRACT(E169, ""/d/(.*)/""))"),"https://drive.google.com/uc?export=view&amp;id=1JgesowoNfYdG24T24eV3BPEikl62Lmv-")</f>
        <v>https://drive.google.com/uc?export=view&amp;id=1JgesowoNfYdG24T24eV3BPEikl62Lmv-</v>
      </c>
    </row>
    <row r="170">
      <c r="A170" s="25" t="s">
        <v>845</v>
      </c>
      <c r="B170" s="24" t="s">
        <v>846</v>
      </c>
      <c r="C170" s="24" t="s">
        <v>847</v>
      </c>
      <c r="D170" s="24" t="s">
        <v>848</v>
      </c>
      <c r="E170" s="28" t="s">
        <v>849</v>
      </c>
      <c r="F170" s="27" t="str">
        <f>IFERROR(__xludf.DUMMYFUNCTION("IF(E170="""", """", ""https://drive.google.com/uc?export=view&amp;id="" &amp; REGEXEXTRACT(E170, ""/d/(.*)/""))"),"https://drive.google.com/uc?export=view&amp;id=1yHc9-xlTIOfHSMXDROugt7TJU8KpGrWP")</f>
        <v>https://drive.google.com/uc?export=view&amp;id=1yHc9-xlTIOfHSMXDROugt7TJU8KpGrWP</v>
      </c>
    </row>
    <row r="171">
      <c r="A171" s="25" t="s">
        <v>850</v>
      </c>
      <c r="B171" s="24" t="s">
        <v>851</v>
      </c>
      <c r="C171" s="24" t="s">
        <v>462</v>
      </c>
      <c r="D171" s="24" t="s">
        <v>852</v>
      </c>
      <c r="E171" s="28" t="s">
        <v>853</v>
      </c>
      <c r="F171" s="27" t="str">
        <f>IFERROR(__xludf.DUMMYFUNCTION("IF(E171="""", """", ""https://drive.google.com/uc?export=view&amp;id="" &amp; REGEXEXTRACT(E171, ""/d/(.*)/""))"),"https://drive.google.com/uc?export=view&amp;id=1_aviLYaAv9Oda8Z2UljBLwT65tmxxwwO")</f>
        <v>https://drive.google.com/uc?export=view&amp;id=1_aviLYaAv9Oda8Z2UljBLwT65tmxxwwO</v>
      </c>
    </row>
    <row r="172">
      <c r="A172" s="25" t="s">
        <v>854</v>
      </c>
      <c r="B172" s="24" t="s">
        <v>855</v>
      </c>
      <c r="C172" s="24" t="s">
        <v>856</v>
      </c>
      <c r="D172" s="25" t="s">
        <v>857</v>
      </c>
      <c r="E172" s="28" t="s">
        <v>858</v>
      </c>
      <c r="F172" s="27" t="str">
        <f>IFERROR(__xludf.DUMMYFUNCTION("IF(E172="""", """", ""https://drive.google.com/uc?export=view&amp;id="" &amp; REGEXEXTRACT(E172, ""/d/(.*)/""))"),"https://drive.google.com/uc?export=view&amp;id=1JOLVqjLO_A8x7Ivs6CUEYcfU9u87kWko")</f>
        <v>https://drive.google.com/uc?export=view&amp;id=1JOLVqjLO_A8x7Ivs6CUEYcfU9u87kWko</v>
      </c>
    </row>
    <row r="173">
      <c r="A173" s="25" t="s">
        <v>859</v>
      </c>
      <c r="B173" s="24" t="s">
        <v>860</v>
      </c>
      <c r="C173" s="24" t="s">
        <v>861</v>
      </c>
      <c r="D173" s="25" t="s">
        <v>862</v>
      </c>
      <c r="E173" s="28" t="s">
        <v>863</v>
      </c>
      <c r="F173" s="27" t="str">
        <f>IFERROR(__xludf.DUMMYFUNCTION("IF(E173="""", """", ""https://drive.google.com/uc?export=view&amp;id="" &amp; REGEXEXTRACT(E173, ""/d/(.*)/""))"),"https://drive.google.com/uc?export=view&amp;id=1JH2PhUzH5IWctP0oisAB74kgXMXYgh6I")</f>
        <v>https://drive.google.com/uc?export=view&amp;id=1JH2PhUzH5IWctP0oisAB74kgXMXYgh6I</v>
      </c>
    </row>
    <row r="174">
      <c r="A174" s="25" t="s">
        <v>864</v>
      </c>
      <c r="B174" s="24" t="s">
        <v>865</v>
      </c>
      <c r="C174" s="24" t="s">
        <v>866</v>
      </c>
      <c r="D174" s="25" t="s">
        <v>867</v>
      </c>
      <c r="E174" s="28" t="s">
        <v>868</v>
      </c>
      <c r="F174" s="27" t="str">
        <f>IFERROR(__xludf.DUMMYFUNCTION("IF(E174="""", """", ""https://drive.google.com/uc?export=view&amp;id="" &amp; REGEXEXTRACT(E174, ""/d/(.*)/""))"),"https://drive.google.com/uc?export=view&amp;id=1rIWm_oBVfSXJ1iwCgdibaI53mAakH6_C")</f>
        <v>https://drive.google.com/uc?export=view&amp;id=1rIWm_oBVfSXJ1iwCgdibaI53mAakH6_C</v>
      </c>
    </row>
    <row r="175">
      <c r="A175" s="25" t="s">
        <v>869</v>
      </c>
      <c r="B175" s="24" t="s">
        <v>870</v>
      </c>
      <c r="C175" s="24" t="s">
        <v>871</v>
      </c>
      <c r="D175" s="24" t="s">
        <v>872</v>
      </c>
      <c r="E175" s="28" t="s">
        <v>873</v>
      </c>
      <c r="F175" s="27" t="str">
        <f>IFERROR(__xludf.DUMMYFUNCTION("IF(E175="""", """", ""https://drive.google.com/uc?export=view&amp;id="" &amp; REGEXEXTRACT(E175, ""/d/(.*)/""))"),"https://drive.google.com/uc?export=view&amp;id=1omno-XGpEIy5QtVDCs4kSVroi737bMUq")</f>
        <v>https://drive.google.com/uc?export=view&amp;id=1omno-XGpEIy5QtVDCs4kSVroi737bMUq</v>
      </c>
    </row>
    <row r="176">
      <c r="A176" s="25" t="s">
        <v>874</v>
      </c>
      <c r="B176" s="24" t="s">
        <v>875</v>
      </c>
      <c r="C176" s="24" t="s">
        <v>876</v>
      </c>
      <c r="D176" s="25" t="s">
        <v>877</v>
      </c>
      <c r="E176" s="28" t="s">
        <v>878</v>
      </c>
      <c r="F176" s="27" t="str">
        <f>IFERROR(__xludf.DUMMYFUNCTION("IF(E176="""", """", ""https://drive.google.com/uc?export=view&amp;id="" &amp; REGEXEXTRACT(E176, ""/d/(.*)/""))"),"https://drive.google.com/uc?export=view&amp;id=1AyGNw_cuLg-pZW7gcEbJE0KRO_5Obtn0")</f>
        <v>https://drive.google.com/uc?export=view&amp;id=1AyGNw_cuLg-pZW7gcEbJE0KRO_5Obtn0</v>
      </c>
    </row>
    <row r="177">
      <c r="A177" s="25" t="s">
        <v>879</v>
      </c>
      <c r="B177" s="24" t="s">
        <v>880</v>
      </c>
      <c r="C177" s="24" t="s">
        <v>881</v>
      </c>
      <c r="D177" s="24" t="s">
        <v>882</v>
      </c>
      <c r="E177" s="28" t="s">
        <v>883</v>
      </c>
      <c r="F177" s="27" t="str">
        <f>IFERROR(__xludf.DUMMYFUNCTION("IF(E177="""", """", ""https://drive.google.com/uc?export=view&amp;id="" &amp; REGEXEXTRACT(E177, ""/d/(.*)/""))"),"https://drive.google.com/uc?export=view&amp;id=10UlQno1GCaEvg_ZIS5rekFZTlVwkWGef")</f>
        <v>https://drive.google.com/uc?export=view&amp;id=10UlQno1GCaEvg_ZIS5rekFZTlVwkWGef</v>
      </c>
    </row>
    <row r="178">
      <c r="A178" s="25" t="s">
        <v>884</v>
      </c>
      <c r="B178" s="24" t="s">
        <v>885</v>
      </c>
      <c r="C178" s="24" t="s">
        <v>886</v>
      </c>
      <c r="D178" s="24" t="s">
        <v>887</v>
      </c>
      <c r="E178" s="28" t="s">
        <v>888</v>
      </c>
      <c r="F178" s="27" t="str">
        <f>IFERROR(__xludf.DUMMYFUNCTION("IF(E178="""", """", ""https://drive.google.com/uc?export=view&amp;id="" &amp; REGEXEXTRACT(E178, ""/d/(.*)/""))"),"https://drive.google.com/uc?export=view&amp;id=1fCFBdMuJMNmUUz0rnX91nTKO1TI510fr")</f>
        <v>https://drive.google.com/uc?export=view&amp;id=1fCFBdMuJMNmUUz0rnX91nTKO1TI510fr</v>
      </c>
    </row>
    <row r="179">
      <c r="A179" s="25" t="s">
        <v>889</v>
      </c>
      <c r="B179" s="24" t="s">
        <v>890</v>
      </c>
      <c r="C179" s="24" t="s">
        <v>891</v>
      </c>
      <c r="D179" s="25" t="s">
        <v>892</v>
      </c>
      <c r="E179" s="28" t="s">
        <v>893</v>
      </c>
      <c r="F179" s="27" t="str">
        <f>IFERROR(__xludf.DUMMYFUNCTION("IF(E179="""", """", ""https://drive.google.com/uc?export=view&amp;id="" &amp; REGEXEXTRACT(E179, ""/d/(.*)/""))"),"https://drive.google.com/uc?export=view&amp;id=1KICLfGvqGnaknwbVxvqPOQN7dvZpyd5d")</f>
        <v>https://drive.google.com/uc?export=view&amp;id=1KICLfGvqGnaknwbVxvqPOQN7dvZpyd5d</v>
      </c>
    </row>
    <row r="180">
      <c r="A180" s="25" t="s">
        <v>894</v>
      </c>
      <c r="B180" s="24" t="s">
        <v>895</v>
      </c>
      <c r="C180" s="24" t="s">
        <v>896</v>
      </c>
      <c r="D180" s="24" t="s">
        <v>897</v>
      </c>
      <c r="E180" s="28" t="s">
        <v>898</v>
      </c>
      <c r="F180" s="27" t="str">
        <f>IFERROR(__xludf.DUMMYFUNCTION("IF(E180="""", """", ""https://drive.google.com/uc?export=view&amp;id="" &amp; REGEXEXTRACT(E180, ""/d/(.*)/""))"),"https://drive.google.com/uc?export=view&amp;id=1DlOwsJfgsu-2or-pWqGiw-r729YwafaK")</f>
        <v>https://drive.google.com/uc?export=view&amp;id=1DlOwsJfgsu-2or-pWqGiw-r729YwafaK</v>
      </c>
    </row>
    <row r="181">
      <c r="A181" s="25" t="s">
        <v>899</v>
      </c>
      <c r="B181" s="24" t="s">
        <v>900</v>
      </c>
      <c r="C181" s="24" t="s">
        <v>901</v>
      </c>
      <c r="D181" s="25" t="s">
        <v>902</v>
      </c>
      <c r="E181" s="28" t="s">
        <v>903</v>
      </c>
      <c r="F181" s="27" t="str">
        <f>IFERROR(__xludf.DUMMYFUNCTION("IF(E181="""", """", ""https://drive.google.com/uc?export=view&amp;id="" &amp; REGEXEXTRACT(E181, ""/d/(.*)/""))"),"https://drive.google.com/uc?export=view&amp;id=118bHa43lJ-cBj5L1ZU-4F6RfMXNS_15h")</f>
        <v>https://drive.google.com/uc?export=view&amp;id=118bHa43lJ-cBj5L1ZU-4F6RfMXNS_15h</v>
      </c>
    </row>
    <row r="182">
      <c r="A182" s="25" t="s">
        <v>904</v>
      </c>
      <c r="B182" s="24" t="s">
        <v>905</v>
      </c>
      <c r="C182" s="24" t="s">
        <v>906</v>
      </c>
      <c r="D182" s="24" t="s">
        <v>907</v>
      </c>
      <c r="E182" s="28" t="s">
        <v>908</v>
      </c>
      <c r="F182" s="27" t="str">
        <f>IFERROR(__xludf.DUMMYFUNCTION("IF(E182="""", """", ""https://drive.google.com/uc?export=view&amp;id="" &amp; REGEXEXTRACT(E182, ""/d/(.*)/""))"),"https://drive.google.com/uc?export=view&amp;id=1c9mphxUsgeo3l719_cJC-tFwB1faIrvr")</f>
        <v>https://drive.google.com/uc?export=view&amp;id=1c9mphxUsgeo3l719_cJC-tFwB1faIrvr</v>
      </c>
    </row>
    <row r="183">
      <c r="A183" s="25" t="s">
        <v>909</v>
      </c>
      <c r="B183" s="24" t="s">
        <v>910</v>
      </c>
      <c r="C183" s="24" t="s">
        <v>911</v>
      </c>
      <c r="D183" s="25" t="s">
        <v>912</v>
      </c>
      <c r="E183" s="28" t="s">
        <v>913</v>
      </c>
      <c r="F183" s="27" t="str">
        <f>IFERROR(__xludf.DUMMYFUNCTION("IF(E183="""", """", ""https://drive.google.com/uc?export=view&amp;id="" &amp; REGEXEXTRACT(E183, ""/d/(.*)/""))"),"https://drive.google.com/uc?export=view&amp;id=1x_hFtdfV7JlGRvCzLdvV6wISzl6mqJw2")</f>
        <v>https://drive.google.com/uc?export=view&amp;id=1x_hFtdfV7JlGRvCzLdvV6wISzl6mqJw2</v>
      </c>
    </row>
    <row r="184">
      <c r="A184" s="25" t="s">
        <v>914</v>
      </c>
      <c r="B184" s="24" t="s">
        <v>915</v>
      </c>
      <c r="C184" s="24" t="s">
        <v>916</v>
      </c>
      <c r="D184" s="25" t="s">
        <v>917</v>
      </c>
      <c r="E184" s="28" t="s">
        <v>918</v>
      </c>
      <c r="F184" s="27" t="str">
        <f>IFERROR(__xludf.DUMMYFUNCTION("IF(E184="""", """", ""https://drive.google.com/uc?export=view&amp;id="" &amp; REGEXEXTRACT(E184, ""/d/(.*)/""))"),"https://drive.google.com/uc?export=view&amp;id=1nJ7HexA9_VdU4Keu2Jns_nQG_SD8eE_i")</f>
        <v>https://drive.google.com/uc?export=view&amp;id=1nJ7HexA9_VdU4Keu2Jns_nQG_SD8eE_i</v>
      </c>
    </row>
    <row r="185">
      <c r="A185" s="25" t="s">
        <v>919</v>
      </c>
      <c r="B185" s="24" t="s">
        <v>920</v>
      </c>
      <c r="C185" s="24" t="s">
        <v>921</v>
      </c>
      <c r="D185" s="24" t="s">
        <v>922</v>
      </c>
      <c r="E185" s="28" t="s">
        <v>923</v>
      </c>
      <c r="F185" s="27" t="str">
        <f>IFERROR(__xludf.DUMMYFUNCTION("IF(E185="""", """", ""https://drive.google.com/uc?export=view&amp;id="" &amp; REGEXEXTRACT(E185, ""/d/(.*)/""))"),"https://drive.google.com/uc?export=view&amp;id=1LMf6mJfDZ3LqNqJ80GwKYUIKLw1LlJ9Q")</f>
        <v>https://drive.google.com/uc?export=view&amp;id=1LMf6mJfDZ3LqNqJ80GwKYUIKLw1LlJ9Q</v>
      </c>
    </row>
    <row r="186">
      <c r="A186" s="25" t="s">
        <v>924</v>
      </c>
      <c r="B186" s="24" t="s">
        <v>925</v>
      </c>
      <c r="C186" s="24" t="s">
        <v>926</v>
      </c>
      <c r="D186" s="24" t="s">
        <v>927</v>
      </c>
      <c r="E186" s="28" t="s">
        <v>928</v>
      </c>
      <c r="F186" s="27" t="str">
        <f>IFERROR(__xludf.DUMMYFUNCTION("IF(E186="""", """", ""https://drive.google.com/uc?export=view&amp;id="" &amp; REGEXEXTRACT(E186, ""/d/(.*)/""))"),"https://drive.google.com/uc?export=view&amp;id=1LGBiyX_7N8MCuuf2Wtj7vZGUjs2tf40k")</f>
        <v>https://drive.google.com/uc?export=view&amp;id=1LGBiyX_7N8MCuuf2Wtj7vZGUjs2tf40k</v>
      </c>
    </row>
    <row r="187">
      <c r="A187" s="25" t="s">
        <v>929</v>
      </c>
      <c r="B187" s="24" t="s">
        <v>930</v>
      </c>
      <c r="C187" s="24" t="s">
        <v>921</v>
      </c>
      <c r="D187" s="24" t="s">
        <v>931</v>
      </c>
      <c r="E187" s="28" t="s">
        <v>932</v>
      </c>
      <c r="F187" s="27" t="str">
        <f>IFERROR(__xludf.DUMMYFUNCTION("IF(E187="""", """", ""https://drive.google.com/uc?export=view&amp;id="" &amp; REGEXEXTRACT(E187, ""/d/(.*)/""))"),"https://drive.google.com/uc?export=view&amp;id=1oxzoNxCaSjFapLNYvxtQNGMaTyuGEKDf")</f>
        <v>https://drive.google.com/uc?export=view&amp;id=1oxzoNxCaSjFapLNYvxtQNGMaTyuGEKDf</v>
      </c>
    </row>
    <row r="188">
      <c r="A188" s="25" t="s">
        <v>933</v>
      </c>
      <c r="B188" s="24" t="s">
        <v>934</v>
      </c>
      <c r="C188" s="24" t="s">
        <v>921</v>
      </c>
      <c r="D188" s="24" t="s">
        <v>513</v>
      </c>
      <c r="E188" s="28" t="s">
        <v>935</v>
      </c>
      <c r="F188" s="27" t="str">
        <f>IFERROR(__xludf.DUMMYFUNCTION("IF(E188="""", """", ""https://drive.google.com/uc?export=view&amp;id="" &amp; REGEXEXTRACT(E188, ""/d/(.*)/""))"),"https://drive.google.com/uc?export=view&amp;id=1Zbxd8qDnZ7yYNsM6q0mQXXH7aEf12Ezg")</f>
        <v>https://drive.google.com/uc?export=view&amp;id=1Zbxd8qDnZ7yYNsM6q0mQXXH7aEf12Ezg</v>
      </c>
    </row>
    <row r="189">
      <c r="A189" s="25" t="s">
        <v>936</v>
      </c>
      <c r="B189" s="24" t="s">
        <v>937</v>
      </c>
      <c r="C189" s="24" t="s">
        <v>938</v>
      </c>
      <c r="D189" s="25" t="s">
        <v>939</v>
      </c>
      <c r="E189" s="28" t="s">
        <v>940</v>
      </c>
      <c r="F189" s="27" t="str">
        <f>IFERROR(__xludf.DUMMYFUNCTION("IF(E189="""", """", ""https://drive.google.com/uc?export=view&amp;id="" &amp; REGEXEXTRACT(E189, ""/d/(.*)/""))"),"https://drive.google.com/uc?export=view&amp;id=15B03Y7ux3Qb_wZNl5NTAXpY6sFtCWEmj")</f>
        <v>https://drive.google.com/uc?export=view&amp;id=15B03Y7ux3Qb_wZNl5NTAXpY6sFtCWEmj</v>
      </c>
    </row>
    <row r="190">
      <c r="A190" s="25" t="s">
        <v>941</v>
      </c>
      <c r="B190" s="24" t="s">
        <v>942</v>
      </c>
      <c r="C190" s="24" t="s">
        <v>943</v>
      </c>
      <c r="D190" s="25" t="s">
        <v>944</v>
      </c>
      <c r="E190" s="28" t="s">
        <v>945</v>
      </c>
      <c r="F190" s="27" t="str">
        <f>IFERROR(__xludf.DUMMYFUNCTION("IF(E190="""", """", ""https://drive.google.com/uc?export=view&amp;id="" &amp; REGEXEXTRACT(E190, ""/d/(.*)/""))"),"https://drive.google.com/uc?export=view&amp;id=1nt7FYfOU0phAYFbfZPEP0SxjNEAB3vTF")</f>
        <v>https://drive.google.com/uc?export=view&amp;id=1nt7FYfOU0phAYFbfZPEP0SxjNEAB3vTF</v>
      </c>
    </row>
    <row r="191">
      <c r="A191" s="25" t="s">
        <v>946</v>
      </c>
      <c r="B191" s="24" t="s">
        <v>947</v>
      </c>
      <c r="C191" s="24" t="s">
        <v>948</v>
      </c>
      <c r="D191" s="25" t="s">
        <v>949</v>
      </c>
      <c r="E191" s="28" t="s">
        <v>950</v>
      </c>
      <c r="F191" s="27" t="str">
        <f>IFERROR(__xludf.DUMMYFUNCTION("IF(E191="""", """", ""https://drive.google.com/uc?export=view&amp;id="" &amp; REGEXEXTRACT(E191, ""/d/(.*)/""))"),"https://drive.google.com/uc?export=view&amp;id=1DAl-idv0ZdLCeM8EYozDED6NUuG_1OS4")</f>
        <v>https://drive.google.com/uc?export=view&amp;id=1DAl-idv0ZdLCeM8EYozDED6NUuG_1OS4</v>
      </c>
    </row>
    <row r="192">
      <c r="A192" s="25" t="s">
        <v>951</v>
      </c>
      <c r="B192" s="24" t="s">
        <v>952</v>
      </c>
      <c r="C192" s="24" t="s">
        <v>953</v>
      </c>
      <c r="D192" s="24" t="s">
        <v>954</v>
      </c>
      <c r="E192" s="28" t="s">
        <v>955</v>
      </c>
      <c r="F192" s="27" t="str">
        <f>IFERROR(__xludf.DUMMYFUNCTION("IF(E192="""", """", ""https://drive.google.com/uc?export=view&amp;id="" &amp; REGEXEXTRACT(E192, ""/d/(.*)/""))"),"https://drive.google.com/uc?export=view&amp;id=11WCwS4rxIJwX20aZoEsOOleBcCaWu9As")</f>
        <v>https://drive.google.com/uc?export=view&amp;id=11WCwS4rxIJwX20aZoEsOOleBcCaWu9As</v>
      </c>
    </row>
    <row r="193">
      <c r="A193" s="25" t="s">
        <v>956</v>
      </c>
      <c r="B193" s="24" t="s">
        <v>957</v>
      </c>
      <c r="C193" s="24" t="s">
        <v>958</v>
      </c>
      <c r="D193" s="24" t="s">
        <v>959</v>
      </c>
      <c r="E193" s="28" t="s">
        <v>960</v>
      </c>
      <c r="F193" s="27" t="str">
        <f>IFERROR(__xludf.DUMMYFUNCTION("IF(E193="""", """", ""https://drive.google.com/uc?export=view&amp;id="" &amp; REGEXEXTRACT(E193, ""/d/(.*)/""))"),"https://drive.google.com/uc?export=view&amp;id=1cRy_6x9tIGbYYYxpXNp8iGTZ0tD-l5sE")</f>
        <v>https://drive.google.com/uc?export=view&amp;id=1cRy_6x9tIGbYYYxpXNp8iGTZ0tD-l5sE</v>
      </c>
    </row>
    <row r="194">
      <c r="A194" s="25" t="s">
        <v>961</v>
      </c>
      <c r="B194" s="24" t="s">
        <v>962</v>
      </c>
      <c r="C194" s="29" t="s">
        <v>963</v>
      </c>
      <c r="D194" s="24" t="s">
        <v>964</v>
      </c>
      <c r="E194" s="28" t="s">
        <v>965</v>
      </c>
      <c r="F194" s="27" t="str">
        <f>IFERROR(__xludf.DUMMYFUNCTION("IF(E194="""", """", ""https://drive.google.com/uc?export=view&amp;id="" &amp; REGEXEXTRACT(E194, ""/d/(.*)/""))"),"https://drive.google.com/uc?export=view&amp;id=1ukcnC5igwgpMhz2n8vIse5pRuxttkUn0")</f>
        <v>https://drive.google.com/uc?export=view&amp;id=1ukcnC5igwgpMhz2n8vIse5pRuxttkUn0</v>
      </c>
    </row>
    <row r="195">
      <c r="A195" s="25" t="s">
        <v>966</v>
      </c>
      <c r="B195" s="24" t="s">
        <v>967</v>
      </c>
      <c r="C195" s="29" t="s">
        <v>968</v>
      </c>
      <c r="D195" s="24" t="s">
        <v>969</v>
      </c>
      <c r="E195" s="28" t="s">
        <v>970</v>
      </c>
      <c r="F195" s="27" t="str">
        <f>IFERROR(__xludf.DUMMYFUNCTION("IF(E195="""", """", ""https://drive.google.com/uc?export=view&amp;id="" &amp; REGEXEXTRACT(E195, ""/d/(.*)/""))"),"https://drive.google.com/uc?export=view&amp;id=1fo5Bu53B6ApQu61uLRqsWinbGGojqMBo")</f>
        <v>https://drive.google.com/uc?export=view&amp;id=1fo5Bu53B6ApQu61uLRqsWinbGGojqMBo</v>
      </c>
    </row>
    <row r="196">
      <c r="A196" s="25" t="s">
        <v>971</v>
      </c>
      <c r="B196" s="24" t="s">
        <v>972</v>
      </c>
      <c r="C196" s="29" t="s">
        <v>973</v>
      </c>
      <c r="D196" s="24" t="s">
        <v>974</v>
      </c>
      <c r="E196" s="28" t="s">
        <v>975</v>
      </c>
      <c r="F196" s="27" t="str">
        <f>IFERROR(__xludf.DUMMYFUNCTION("IF(E196="""", """", ""https://drive.google.com/uc?export=view&amp;id="" &amp; REGEXEXTRACT(E196, ""/d/(.*)/""))"),"https://drive.google.com/uc?export=view&amp;id=1xREAknIwLK0SHveAUCA3taUO6nqcoexn")</f>
        <v>https://drive.google.com/uc?export=view&amp;id=1xREAknIwLK0SHveAUCA3taUO6nqcoexn</v>
      </c>
    </row>
    <row r="197">
      <c r="A197" s="25" t="s">
        <v>976</v>
      </c>
      <c r="B197" s="24" t="s">
        <v>977</v>
      </c>
      <c r="C197" s="29" t="s">
        <v>978</v>
      </c>
      <c r="D197" s="24" t="s">
        <v>979</v>
      </c>
      <c r="E197" s="28" t="s">
        <v>980</v>
      </c>
      <c r="F197" s="27" t="str">
        <f>IFERROR(__xludf.DUMMYFUNCTION("IF(E197="""", """", ""https://drive.google.com/uc?export=view&amp;id="" &amp; REGEXEXTRACT(E197, ""/d/(.*)/""))"),"https://drive.google.com/uc?export=view&amp;id=18uF9Ofg5bLv58OqHcfPRjmGrxqrdGqHn")</f>
        <v>https://drive.google.com/uc?export=view&amp;id=18uF9Ofg5bLv58OqHcfPRjmGrxqrdGqHn</v>
      </c>
    </row>
    <row r="198">
      <c r="A198" s="25" t="s">
        <v>981</v>
      </c>
      <c r="B198" s="24" t="s">
        <v>982</v>
      </c>
      <c r="C198" s="29" t="s">
        <v>983</v>
      </c>
      <c r="D198" s="24" t="s">
        <v>984</v>
      </c>
      <c r="E198" s="28" t="s">
        <v>985</v>
      </c>
      <c r="F198" s="27" t="str">
        <f>IFERROR(__xludf.DUMMYFUNCTION("IF(E198="""", """", ""https://drive.google.com/uc?export=view&amp;id="" &amp; REGEXEXTRACT(E198, ""/d/(.*)/""))"),"https://drive.google.com/uc?export=view&amp;id=1HQKiAm7rv9dg1SCZ2GVgBExGS1nR7SBb")</f>
        <v>https://drive.google.com/uc?export=view&amp;id=1HQKiAm7rv9dg1SCZ2GVgBExGS1nR7SBb</v>
      </c>
    </row>
    <row r="199">
      <c r="A199" s="25" t="s">
        <v>986</v>
      </c>
      <c r="B199" s="24" t="s">
        <v>987</v>
      </c>
      <c r="C199" s="29" t="s">
        <v>988</v>
      </c>
      <c r="D199" s="24" t="s">
        <v>989</v>
      </c>
      <c r="E199" s="28" t="s">
        <v>990</v>
      </c>
      <c r="F199" s="27" t="str">
        <f>IFERROR(__xludf.DUMMYFUNCTION("IF(E199="""", """", ""https://drive.google.com/uc?export=view&amp;id="" &amp; REGEXEXTRACT(E199, ""/d/(.*)/""))"),"https://drive.google.com/uc?export=view&amp;id=1wU-FZjCJoUnTPSbmSSUv3h7TCtN-YCQe")</f>
        <v>https://drive.google.com/uc?export=view&amp;id=1wU-FZjCJoUnTPSbmSSUv3h7TCtN-YCQe</v>
      </c>
    </row>
    <row r="200">
      <c r="A200" s="25" t="s">
        <v>991</v>
      </c>
      <c r="B200" s="24" t="s">
        <v>992</v>
      </c>
      <c r="C200" s="29" t="s">
        <v>993</v>
      </c>
      <c r="D200" s="24" t="s">
        <v>994</v>
      </c>
      <c r="E200" s="28" t="s">
        <v>995</v>
      </c>
      <c r="F200" s="27" t="str">
        <f>IFERROR(__xludf.DUMMYFUNCTION("IF(E200="""", """", ""https://drive.google.com/uc?export=view&amp;id="" &amp; REGEXEXTRACT(E200, ""/d/(.*)/""))"),"https://drive.google.com/uc?export=view&amp;id=1bUPWWlvMMS-uJRJ1Qy1dAc4P76ydg3Qd")</f>
        <v>https://drive.google.com/uc?export=view&amp;id=1bUPWWlvMMS-uJRJ1Qy1dAc4P76ydg3Qd</v>
      </c>
    </row>
    <row r="201">
      <c r="A201" s="25" t="s">
        <v>996</v>
      </c>
      <c r="B201" s="24" t="s">
        <v>997</v>
      </c>
      <c r="C201" s="29" t="s">
        <v>998</v>
      </c>
      <c r="D201" s="24" t="s">
        <v>999</v>
      </c>
      <c r="E201" s="28" t="s">
        <v>1000</v>
      </c>
      <c r="F201" s="27" t="str">
        <f>IFERROR(__xludf.DUMMYFUNCTION("IF(E201="""", """", ""https://drive.google.com/uc?export=view&amp;id="" &amp; REGEXEXTRACT(E201, ""/d/(.*)/""))"),"https://drive.google.com/uc?export=view&amp;id=1CI8cvizkLPCMAnk7KDMnpk7QxoJEZXWM")</f>
        <v>https://drive.google.com/uc?export=view&amp;id=1CI8cvizkLPCMAnk7KDMnpk7QxoJEZXWM</v>
      </c>
    </row>
    <row r="202">
      <c r="A202" s="25" t="s">
        <v>1001</v>
      </c>
      <c r="B202" s="24" t="s">
        <v>1002</v>
      </c>
      <c r="C202" s="29" t="s">
        <v>1003</v>
      </c>
      <c r="D202" s="24" t="s">
        <v>1004</v>
      </c>
      <c r="E202" s="28" t="s">
        <v>1005</v>
      </c>
      <c r="F202" s="27" t="str">
        <f>IFERROR(__xludf.DUMMYFUNCTION("IF(E202="""", """", ""https://drive.google.com/uc?export=view&amp;id="" &amp; REGEXEXTRACT(E202, ""/d/(.*)/""))"),"https://drive.google.com/uc?export=view&amp;id=15dMTBCm7gP8tZCRfLbso1S12CmT6OVq_")</f>
        <v>https://drive.google.com/uc?export=view&amp;id=15dMTBCm7gP8tZCRfLbso1S12CmT6OVq_</v>
      </c>
    </row>
    <row r="203">
      <c r="A203" s="25" t="s">
        <v>1006</v>
      </c>
      <c r="B203" s="29" t="s">
        <v>1007</v>
      </c>
      <c r="C203" s="24" t="s">
        <v>1008</v>
      </c>
      <c r="D203" s="24" t="s">
        <v>1009</v>
      </c>
      <c r="E203" s="28" t="s">
        <v>1010</v>
      </c>
      <c r="F203" s="27" t="str">
        <f>IFERROR(__xludf.DUMMYFUNCTION("IF(E203="""", """", ""https://drive.google.com/uc?export=view&amp;id="" &amp; REGEXEXTRACT(E203, ""/d/(.*)/""))"),"https://drive.google.com/uc?export=view&amp;id=1E6tjcXSPTvPzIjvSfRyCPXpnyH_mqOQd")</f>
        <v>https://drive.google.com/uc?export=view&amp;id=1E6tjcXSPTvPzIjvSfRyCPXpnyH_mqOQd</v>
      </c>
    </row>
    <row r="204">
      <c r="A204" s="25" t="s">
        <v>1011</v>
      </c>
      <c r="B204" s="29" t="s">
        <v>1012</v>
      </c>
      <c r="C204" s="24" t="s">
        <v>1013</v>
      </c>
      <c r="D204" s="24" t="s">
        <v>1014</v>
      </c>
      <c r="E204" s="28" t="s">
        <v>1015</v>
      </c>
      <c r="F204" s="27" t="str">
        <f>IFERROR(__xludf.DUMMYFUNCTION("IF(E204="""", """", ""https://drive.google.com/uc?export=view&amp;id="" &amp; REGEXEXTRACT(E204, ""/d/(.*)/""))"),"https://drive.google.com/uc?export=view&amp;id=1q4a7uAm-IwBR1YEqABFg0Ker02BtlAgP")</f>
        <v>https://drive.google.com/uc?export=view&amp;id=1q4a7uAm-IwBR1YEqABFg0Ker02BtlAgP</v>
      </c>
    </row>
    <row r="205">
      <c r="A205" s="25" t="s">
        <v>1016</v>
      </c>
      <c r="B205" s="29" t="s">
        <v>1017</v>
      </c>
      <c r="C205" s="24" t="s">
        <v>1018</v>
      </c>
      <c r="D205" s="24" t="s">
        <v>1019</v>
      </c>
      <c r="E205" s="28" t="s">
        <v>1020</v>
      </c>
      <c r="F205" s="27" t="str">
        <f>IFERROR(__xludf.DUMMYFUNCTION("IF(E205="""", """", ""https://drive.google.com/uc?export=view&amp;id="" &amp; REGEXEXTRACT(E205, ""/d/(.*)/""))"),"https://drive.google.com/uc?export=view&amp;id=1qdOFX96jQ8_W6EiLI8yvKs4w9qruji22")</f>
        <v>https://drive.google.com/uc?export=view&amp;id=1qdOFX96jQ8_W6EiLI8yvKs4w9qruji22</v>
      </c>
    </row>
    <row r="206">
      <c r="A206" s="25" t="s">
        <v>1021</v>
      </c>
      <c r="B206" s="29" t="s">
        <v>1022</v>
      </c>
      <c r="C206" s="24" t="s">
        <v>1023</v>
      </c>
      <c r="D206" s="24" t="s">
        <v>1024</v>
      </c>
      <c r="E206" s="28" t="s">
        <v>1025</v>
      </c>
      <c r="F206" s="27" t="str">
        <f>IFERROR(__xludf.DUMMYFUNCTION("IF(E206="""", """", ""https://drive.google.com/uc?export=view&amp;id="" &amp; REGEXEXTRACT(E206, ""/d/(.*)/""))"),"https://drive.google.com/uc?export=view&amp;id=1Y71bzudHc37b2ZP5IPRnDTzh8-__LsC1")</f>
        <v>https://drive.google.com/uc?export=view&amp;id=1Y71bzudHc37b2ZP5IPRnDTzh8-__LsC1</v>
      </c>
    </row>
    <row r="207">
      <c r="A207" s="25" t="s">
        <v>1026</v>
      </c>
      <c r="B207" s="29" t="s">
        <v>1027</v>
      </c>
      <c r="C207" s="24" t="s">
        <v>1028</v>
      </c>
      <c r="D207" s="24" t="s">
        <v>1029</v>
      </c>
      <c r="E207" s="28" t="s">
        <v>1030</v>
      </c>
      <c r="F207" s="27" t="str">
        <f>IFERROR(__xludf.DUMMYFUNCTION("IF(E207="""", """", ""https://drive.google.com/uc?export=view&amp;id="" &amp; REGEXEXTRACT(E207, ""/d/(.*)/""))"),"https://drive.google.com/uc?export=view&amp;id=1wgGhqBQUvLEBAMiFJ2n5hLwnBAAd8Sdw")</f>
        <v>https://drive.google.com/uc?export=view&amp;id=1wgGhqBQUvLEBAMiFJ2n5hLwnBAAd8Sdw</v>
      </c>
    </row>
    <row r="208">
      <c r="A208" s="25" t="s">
        <v>1031</v>
      </c>
      <c r="B208" s="29" t="s">
        <v>1032</v>
      </c>
      <c r="C208" s="24" t="s">
        <v>1033</v>
      </c>
      <c r="D208" s="24" t="s">
        <v>1034</v>
      </c>
      <c r="E208" s="28" t="s">
        <v>1035</v>
      </c>
      <c r="F208" s="27" t="str">
        <f>IFERROR(__xludf.DUMMYFUNCTION("IF(E208="""", """", ""https://drive.google.com/uc?export=view&amp;id="" &amp; REGEXEXTRACT(E208, ""/d/(.*)/""))"),"https://drive.google.com/uc?export=view&amp;id=1cCM0-J-lBIq-QMe6aim4BmIp_qKpYEJA")</f>
        <v>https://drive.google.com/uc?export=view&amp;id=1cCM0-J-lBIq-QMe6aim4BmIp_qKpYEJA</v>
      </c>
    </row>
    <row r="209">
      <c r="A209" s="25" t="s">
        <v>1036</v>
      </c>
      <c r="B209" s="29" t="s">
        <v>1037</v>
      </c>
      <c r="C209" s="24" t="s">
        <v>1038</v>
      </c>
      <c r="D209" s="24" t="s">
        <v>1039</v>
      </c>
      <c r="E209" s="28" t="s">
        <v>1040</v>
      </c>
      <c r="F209" s="27" t="str">
        <f>IFERROR(__xludf.DUMMYFUNCTION("IF(E209="""", """", ""https://drive.google.com/uc?export=view&amp;id="" &amp; REGEXEXTRACT(E209, ""/d/(.*)/""))"),"https://drive.google.com/uc?export=view&amp;id=1IFqhGEAC4eLEZ0j1OafrSVXZ-9UvOYyk")</f>
        <v>https://drive.google.com/uc?export=view&amp;id=1IFqhGEAC4eLEZ0j1OafrSVXZ-9UvOYyk</v>
      </c>
    </row>
    <row r="210">
      <c r="A210" s="25" t="s">
        <v>1041</v>
      </c>
      <c r="B210" s="29" t="s">
        <v>1042</v>
      </c>
      <c r="C210" s="24" t="s">
        <v>1043</v>
      </c>
      <c r="D210" s="24" t="s">
        <v>1044</v>
      </c>
      <c r="E210" s="28" t="s">
        <v>1045</v>
      </c>
      <c r="F210" s="27" t="str">
        <f>IFERROR(__xludf.DUMMYFUNCTION("IF(E210="""", """", ""https://drive.google.com/uc?export=view&amp;id="" &amp; REGEXEXTRACT(E210, ""/d/(.*)/""))"),"https://drive.google.com/uc?export=view&amp;id=1JBldlix_mk1LMImWbccPcE9hSpP6eYO4")</f>
        <v>https://drive.google.com/uc?export=view&amp;id=1JBldlix_mk1LMImWbccPcE9hSpP6eYO4</v>
      </c>
    </row>
    <row r="211">
      <c r="A211" s="2" t="s">
        <v>17</v>
      </c>
      <c r="B211" s="2" t="s">
        <v>1046</v>
      </c>
      <c r="C211" s="2" t="s">
        <v>1047</v>
      </c>
      <c r="D211" s="2" t="s">
        <v>1048</v>
      </c>
      <c r="E211" s="28" t="s">
        <v>1049</v>
      </c>
      <c r="F211" s="27" t="str">
        <f>IFERROR(__xludf.DUMMYFUNCTION("IF(E211="""", """", ""https://drive.google.com/uc?export=view&amp;id="" &amp; REGEXEXTRACT(E211, ""/d/(.*)/""))"),"https://drive.google.com/uc?export=view&amp;id=1FBjhrQlbmkUBmYGRgqQPI5dIsAxHWMEU")</f>
        <v>https://drive.google.com/uc?export=view&amp;id=1FBjhrQlbmkUBmYGRgqQPI5dIsAxHWMEU</v>
      </c>
    </row>
    <row r="212">
      <c r="A212" s="2" t="s">
        <v>22</v>
      </c>
      <c r="B212" s="2" t="s">
        <v>1050</v>
      </c>
      <c r="C212" s="2" t="s">
        <v>1051</v>
      </c>
      <c r="D212" s="2" t="s">
        <v>1052</v>
      </c>
      <c r="E212" s="28" t="s">
        <v>1053</v>
      </c>
      <c r="F212" s="27" t="str">
        <f>IFERROR(__xludf.DUMMYFUNCTION("IF(E212="""", """", ""https://drive.google.com/uc?export=view&amp;id="" &amp; REGEXEXTRACT(E212, ""/d/(.*)/""))"),"https://drive.google.com/uc?export=view&amp;id=1SbQTHXJsGaTTo4sCosQcpq3-Km2th5Xz")</f>
        <v>https://drive.google.com/uc?export=view&amp;id=1SbQTHXJsGaTTo4sCosQcpq3-Km2th5Xz</v>
      </c>
    </row>
    <row r="213">
      <c r="A213" s="2" t="s">
        <v>27</v>
      </c>
      <c r="B213" s="2" t="s">
        <v>1054</v>
      </c>
      <c r="C213" s="2" t="s">
        <v>1055</v>
      </c>
      <c r="D213" s="2" t="s">
        <v>1056</v>
      </c>
      <c r="E213" s="28" t="s">
        <v>1057</v>
      </c>
      <c r="F213" s="27" t="str">
        <f>IFERROR(__xludf.DUMMYFUNCTION("IF(E213="""", """", ""https://drive.google.com/uc?export=view&amp;id="" &amp; REGEXEXTRACT(E213, ""/d/(.*)/""))"),"https://drive.google.com/uc?export=view&amp;id=1ivfaiYa-nRxHxzIrRLuZMDhY8--FyEHc")</f>
        <v>https://drive.google.com/uc?export=view&amp;id=1ivfaiYa-nRxHxzIrRLuZMDhY8--FyEHc</v>
      </c>
    </row>
    <row r="214">
      <c r="F214" s="1" t="str">
        <f>IFERROR(__xludf.DUMMYFUNCTION("IF(E214="""", """", ""https://drive.google.com/uc?export=view&amp;id="" &amp; REGEXEXTRACT(E214, ""/d/(.*)/""))"),"")</f>
        <v/>
      </c>
    </row>
    <row r="215">
      <c r="F215" s="1" t="str">
        <f>IFERROR(__xludf.DUMMYFUNCTION("IF(E215="""", """", ""https://drive.google.com/uc?export=view&amp;id="" &amp; REGEXEXTRACT(E215, ""/d/(.*)/""))"),"")</f>
        <v/>
      </c>
    </row>
    <row r="216">
      <c r="F216" s="1" t="str">
        <f>IFERROR(__xludf.DUMMYFUNCTION("IF(E216="""", """", ""https://drive.google.com/uc?export=view&amp;id="" &amp; REGEXEXTRACT(E216, ""/d/(.*)/""))"),"")</f>
        <v/>
      </c>
    </row>
    <row r="217">
      <c r="F217" s="1" t="str">
        <f>IFERROR(__xludf.DUMMYFUNCTION("IF(E217="""", """", ""https://drive.google.com/uc?export=view&amp;id="" &amp; REGEXEXTRACT(E217, ""/d/(.*)/""))"),"")</f>
        <v/>
      </c>
    </row>
    <row r="218">
      <c r="F218" s="1" t="str">
        <f>IFERROR(__xludf.DUMMYFUNCTION("IF(E218="""", """", ""https://drive.google.com/uc?export=view&amp;id="" &amp; REGEXEXTRACT(E218, ""/d/(.*)/""))"),"")</f>
        <v/>
      </c>
    </row>
    <row r="219">
      <c r="F219" s="1" t="str">
        <f>IFERROR(__xludf.DUMMYFUNCTION("IF(E219="""", """", ""https://drive.google.com/uc?export=view&amp;id="" &amp; REGEXEXTRACT(E219, ""/d/(.*)/""))"),"")</f>
        <v/>
      </c>
    </row>
    <row r="220">
      <c r="F220" s="1" t="str">
        <f>IFERROR(__xludf.DUMMYFUNCTION("IF(E220="""", """", ""https://drive.google.com/uc?export=view&amp;id="" &amp; REGEXEXTRACT(E220, ""/d/(.*)/""))"),"")</f>
        <v/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</hyperlinks>
  <drawing r:id="rId2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0.5"/>
    <col customWidth="1" min="3" max="3" width="11.63"/>
    <col customWidth="1" min="4" max="4" width="7.13"/>
    <col customWidth="1" min="5" max="5" width="13.25"/>
    <col customWidth="1" min="6" max="6" width="42.63"/>
    <col customWidth="1" min="7" max="7" width="18.75"/>
    <col customWidth="1" min="8" max="10" width="37.63"/>
    <col customWidth="1" min="11" max="11" width="33.88"/>
    <col customWidth="1" min="12" max="12" width="16.75"/>
    <col customWidth="1" min="13" max="13" width="22.0"/>
  </cols>
  <sheetData>
    <row r="1" ht="22.5" customHeight="1">
      <c r="A1" s="30" t="s">
        <v>13</v>
      </c>
      <c r="B1" s="30" t="s">
        <v>1058</v>
      </c>
      <c r="C1" s="30" t="s">
        <v>4</v>
      </c>
      <c r="D1" s="30" t="s">
        <v>8</v>
      </c>
      <c r="E1" s="30" t="s">
        <v>5</v>
      </c>
      <c r="F1" s="31" t="s">
        <v>1059</v>
      </c>
      <c r="G1" s="31" t="s">
        <v>7</v>
      </c>
      <c r="H1" s="30" t="s">
        <v>9</v>
      </c>
      <c r="I1" s="31" t="s">
        <v>1060</v>
      </c>
      <c r="J1" s="30" t="s">
        <v>1061</v>
      </c>
      <c r="K1" s="31" t="s">
        <v>1062</v>
      </c>
      <c r="L1" s="30" t="s">
        <v>12</v>
      </c>
      <c r="M1" s="31" t="s">
        <v>1063</v>
      </c>
      <c r="N1" s="32" t="s">
        <v>1064</v>
      </c>
      <c r="O1" s="32" t="s">
        <v>1065</v>
      </c>
      <c r="P1" s="32" t="s">
        <v>1066</v>
      </c>
      <c r="Q1" s="32" t="s">
        <v>1067</v>
      </c>
      <c r="R1" s="32" t="s">
        <v>1068</v>
      </c>
      <c r="S1" s="32" t="s">
        <v>1069</v>
      </c>
      <c r="T1" s="32" t="s">
        <v>1070</v>
      </c>
      <c r="U1" s="32" t="s">
        <v>1071</v>
      </c>
      <c r="V1" s="32" t="s">
        <v>1072</v>
      </c>
      <c r="W1" s="32" t="s">
        <v>1073</v>
      </c>
      <c r="X1" s="32" t="s">
        <v>1074</v>
      </c>
      <c r="Y1" s="32" t="s">
        <v>1075</v>
      </c>
      <c r="Z1" s="32" t="s">
        <v>1076</v>
      </c>
    </row>
    <row r="2" ht="22.5" customHeight="1">
      <c r="A2" s="33" t="s">
        <v>1077</v>
      </c>
      <c r="B2" s="34" t="s">
        <v>1078</v>
      </c>
      <c r="C2" s="35" t="s">
        <v>1079</v>
      </c>
      <c r="D2" s="34" t="s">
        <v>1080</v>
      </c>
      <c r="E2" s="35" t="s">
        <v>1081</v>
      </c>
      <c r="F2" s="35" t="s">
        <v>1082</v>
      </c>
      <c r="G2" s="35" t="s">
        <v>1083</v>
      </c>
      <c r="H2" s="36" t="str">
        <f>IFERROR(__xludf.DUMMYFUNCTION("IFERROR(INDEX(FILTER('棲息地'!$B$2:$B995 &amp; "" / "" &amp; '棲息地'!$C$2:$C995, ISNUMBER(SEARCH($B2, '棲息地'!$D$2:$D995))), 1), """")"),"綠色的草叢 / 綠草 ×4")</f>
        <v>綠色的草叢 / 綠草 ×4</v>
      </c>
      <c r="I2" s="36" t="str">
        <f>IFERROR(__xludf.DUMMYFUNCTION("IFERROR(INDEX(FILTER('棲息地'!$D$2:$D995, ISNUMBER(SEARCH($B2, '棲息地'!$D$2:$D995))), 1), """")"),"妙蛙種子、小火龍、噴火龍、傑尼龜、走路草、小拳石（空空鎮)")</f>
        <v>妙蛙種子、小火龍、噴火龍、傑尼龜、走路草、小拳石（空空鎮)</v>
      </c>
      <c r="J2" s="36" t="str">
        <f>IFERROR(__xludf.DUMMYFUNCTION("IFERROR(INDEX(FILTER('棲息地'!$B$2:$B995 &amp; "" / "" &amp; '棲息地'!$C$2:$C995, ISNUMBER(SEARCH($B2, '棲息地'!$D$2:$D995))), 2), """")"),"綠色的長椅 / 樹籬(任意) ×2、椅子(長條) ×1")</f>
        <v>綠色的長椅 / 樹籬(任意) ×2、椅子(長條) ×1</v>
      </c>
      <c r="K2" s="36" t="str">
        <f>IFERROR(__xludf.DUMMYFUNCTION("IFERROR(INDEX(FILTER('棲息地'!$D$2:$D995, ISNUMBER(SEARCH($B2, '棲息地'!$D$2:$D995))), 2), """")"),"妙蛙種子、妙蛙草、巨蔓藤(需連線去對方的島)")</f>
        <v>妙蛙種子、妙蛙草、巨蔓藤(需連線去對方的島)</v>
      </c>
      <c r="L2" s="36" t="str">
        <f>IFERROR(__xludf.DUMMYFUNCTION("IFERROR(INDEX(FILTER('棲息地'!$D$2:$D995, ISNUMBER(SEARCH($B2, '棲息地'!$D$2:$D995))), 3), """")"),"")</f>
        <v/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2.5" customHeight="1">
      <c r="A3" s="33" t="s">
        <v>1084</v>
      </c>
      <c r="B3" s="34" t="s">
        <v>1085</v>
      </c>
      <c r="C3" s="35" t="s">
        <v>1079</v>
      </c>
      <c r="D3" s="34" t="s">
        <v>1080</v>
      </c>
      <c r="E3" s="35" t="s">
        <v>1081</v>
      </c>
      <c r="F3" s="35" t="s">
        <v>1086</v>
      </c>
      <c r="G3" s="35" t="s">
        <v>1087</v>
      </c>
      <c r="H3" s="36" t="str">
        <f>IFERROR(__xludf.DUMMYFUNCTION("IFERROR(INDEX(FILTER('棲息地'!$B$2:$B995 &amp; "" / "" &amp; '棲息地'!$C$2:$C995, ISNUMBER(SEARCH($B3, '棲息地'!$D$2:$D995))), 1), """")"),"整片的花海 / 原野之花 ×8")</f>
        <v>整片的花海 / 原野之花 ×8</v>
      </c>
      <c r="I3" s="36" t="str">
        <f>IFERROR(__xludf.DUMMYFUNCTION("IFERROR(INDEX(FILTER('棲息地'!$D$2:$D995, ISNUMBER(SEARCH($B3, '棲息地'!$D$2:$D995))), 1), """")"),"妙蛙草、妙蛙花、蜂女王")</f>
        <v>妙蛙草、妙蛙花、蜂女王</v>
      </c>
      <c r="J3" s="36" t="str">
        <f>IFERROR(__xludf.DUMMYFUNCTION("IFERROR(INDEX(FILTER('棲息地'!$B$2:$B995 &amp; "" / "" &amp; '棲息地'!$C$2:$C995, ISNUMBER(SEARCH($B3, '棲息地'!$D$2:$D995))), 2), """")"),"綠色的長椅 / 樹籬(任意) ×2、椅子(長條) ×1")</f>
        <v>綠色的長椅 / 樹籬(任意) ×2、椅子(長條) ×1</v>
      </c>
      <c r="K3" s="36" t="str">
        <f>IFERROR(__xludf.DUMMYFUNCTION("IFERROR(INDEX(FILTER('棲息地'!$D$2:$D995, ISNUMBER(SEARCH($B3, '棲息地'!$D$2:$D995))), 2), """")"),"妙蛙種子、妙蛙草、巨蔓藤(需連線去對方的島)")</f>
        <v>妙蛙種子、妙蛙草、巨蔓藤(需連線去對方的島)</v>
      </c>
      <c r="L3" s="36" t="str">
        <f>IFERROR(__xludf.DUMMYFUNCTION("IFERROR(INDEX(FILTER('棲息地'!$D$2:$D995, ISNUMBER(SEARCH($B3, '棲息地'!$D$2:$D995))), 3), """")"),"")</f>
        <v/>
      </c>
      <c r="M3" s="36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22.5" customHeight="1">
      <c r="A4" s="33" t="s">
        <v>1088</v>
      </c>
      <c r="B4" s="34" t="s">
        <v>242</v>
      </c>
      <c r="C4" s="35" t="s">
        <v>1089</v>
      </c>
      <c r="D4" s="35" t="s">
        <v>1090</v>
      </c>
      <c r="E4" s="35" t="s">
        <v>1081</v>
      </c>
      <c r="F4" s="35" t="s">
        <v>1091</v>
      </c>
      <c r="G4" s="35" t="s">
        <v>1087</v>
      </c>
      <c r="H4" s="36" t="str">
        <f>IFERROR(__xludf.DUMMYFUNCTION("IFERROR(INDEX(FILTER('棲息地'!$B$2:$B995 &amp; "" / "" &amp; '棲息地'!$C$2:$C995, ISNUMBER(SEARCH($B4, '棲息地'!$D$2:$D995))), 1), """")"),"整片的花海 / 原野之花 ×8")</f>
        <v>整片的花海 / 原野之花 ×8</v>
      </c>
      <c r="I4" s="36" t="str">
        <f>IFERROR(__xludf.DUMMYFUNCTION("IFERROR(INDEX(FILTER('棲息地'!$D$2:$D995, ISNUMBER(SEARCH($B4, '棲息地'!$D$2:$D995))), 1), """")"),"妙蛙草、妙蛙花、蜂女王")</f>
        <v>妙蛙草、妙蛙花、蜂女王</v>
      </c>
      <c r="J4" s="36" t="str">
        <f>IFERROR(__xludf.DUMMYFUNCTION("IFERROR(INDEX(FILTER('棲息地'!$B$2:$B995 &amp; "" / "" &amp; '棲息地'!$C$2:$C995, ISNUMBER(SEARCH($B4, '棲息地'!$D$2:$D995))), 2), """")"),"庭園陽台 / 原野之花 ×4、花園燈 ×1、花園椅 ×1")</f>
        <v>庭園陽台 / 原野之花 ×4、花園燈 ×1、花園椅 ×1</v>
      </c>
      <c r="K4" s="36" t="str">
        <f>IFERROR(__xludf.DUMMYFUNCTION("IFERROR(INDEX(FILTER('棲息地'!$D$2:$D995, ISNUMBER(SEARCH($B4, '棲息地'!$D$2:$D995))), 2), """")"),"妙蛙花")</f>
        <v>妙蛙花</v>
      </c>
      <c r="L4" s="36" t="str">
        <f>IFERROR(__xludf.DUMMYFUNCTION("IFERROR(INDEX(FILTER('棲息地'!$D$2:$D995, ISNUMBER(SEARCH($B4, '棲息地'!$D$2:$D995))), 3), """")"),"")</f>
        <v/>
      </c>
      <c r="M4" s="36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22.5" customHeight="1">
      <c r="A5" s="33" t="s">
        <v>1092</v>
      </c>
      <c r="B5" s="34" t="s">
        <v>3</v>
      </c>
      <c r="C5" s="35" t="s">
        <v>2</v>
      </c>
      <c r="D5" s="34" t="s">
        <v>1080</v>
      </c>
      <c r="E5" s="35" t="s">
        <v>1093</v>
      </c>
      <c r="F5" s="35" t="s">
        <v>1094</v>
      </c>
      <c r="G5" s="35" t="s">
        <v>1095</v>
      </c>
      <c r="H5" s="36" t="str">
        <f>IFERROR(__xludf.DUMMYFUNCTION("IFERROR(INDEX(FILTER('棲息地'!$B$2:$B995 &amp; "" / "" &amp; '棲息地'!$C$2:$C995, ISNUMBER(SEARCH($B5, '棲息地'!$D$2:$D995))), 1), """")"),"綠色的草叢 / 綠草 ×4")</f>
        <v>綠色的草叢 / 綠草 ×4</v>
      </c>
      <c r="I5" s="36" t="str">
        <f>IFERROR(__xludf.DUMMYFUNCTION("IFERROR(INDEX(FILTER('棲息地'!$D$2:$D995, ISNUMBER(SEARCH($B5, '棲息地'!$D$2:$D995))), 1), """")"),"妙蛙種子、小火龍、噴火龍、傑尼龜、走路草、小拳石（空空鎮)")</f>
        <v>妙蛙種子、小火龍、噴火龍、傑尼龜、走路草、小拳石（空空鎮)</v>
      </c>
      <c r="J5" s="36" t="str">
        <f>IFERROR(__xludf.DUMMYFUNCTION("IFERROR(INDEX(FILTER('棲息地'!$B$2:$B995 &amp; "" / "" &amp; '棲息地'!$C$2:$C995, ISNUMBER(SEARCH($B5, '棲息地'!$D$2:$D995))), 2), """")"),"")</f>
        <v/>
      </c>
      <c r="K5" s="36" t="str">
        <f>IFERROR(__xludf.DUMMYFUNCTION("IFERROR(INDEX(FILTER('棲息地'!$D$2:$D995, ISNUMBER(SEARCH($B5, '棲息地'!$D$2:$D995))), 2), """")"),"")</f>
        <v/>
      </c>
      <c r="L5" s="36" t="str">
        <f>IFERROR(__xludf.DUMMYFUNCTION("IFERROR(INDEX(FILTER('棲息地'!$D$2:$D995, ISNUMBER(SEARCH($B5, '棲息地'!$D$2:$D995))), 3), """")"),"")</f>
        <v/>
      </c>
      <c r="M5" s="36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22.5" customHeight="1">
      <c r="A6" s="33" t="s">
        <v>1096</v>
      </c>
      <c r="B6" s="34" t="s">
        <v>98</v>
      </c>
      <c r="C6" s="35" t="s">
        <v>2</v>
      </c>
      <c r="D6" s="34" t="s">
        <v>1080</v>
      </c>
      <c r="E6" s="35" t="s">
        <v>1093</v>
      </c>
      <c r="F6" s="35" t="s">
        <v>1097</v>
      </c>
      <c r="G6" s="35" t="s">
        <v>1095</v>
      </c>
      <c r="H6" s="36" t="str">
        <f>IFERROR(__xludf.DUMMYFUNCTION("IFERROR(INDEX(FILTER('棲息地'!$B$2:$B995 &amp; "" / "" &amp; '棲息地'!$C$2:$C995, ISNUMBER(SEARCH($B6, '棲息地'!$D$2:$D995))), 1), """")"),"露營組合 / 營火 ×1、乾草桌 ×1、乾草椅 ×1")</f>
        <v>露營組合 / 營火 ×1、乾草桌 ×1、乾草椅 ×1</v>
      </c>
      <c r="I6" s="36" t="str">
        <f>IFERROR(__xludf.DUMMYFUNCTION("IFERROR(INDEX(FILTER('棲息地'!$D$2:$D995, ISNUMBER(SEARCH($B6, '棲息地'!$D$2:$D995))), 1), """")"),"火恐龍")</f>
        <v>火恐龍</v>
      </c>
      <c r="J6" s="36" t="str">
        <f>IFERROR(__xludf.DUMMYFUNCTION("IFERROR(INDEX(FILTER('棲息地'!$B$2:$B995 &amp; "" / "" &amp; '棲息地'!$C$2:$C995, ISNUMBER(SEARCH($B6, '棲息地'!$D$2:$D995))), 2), """")"),"")</f>
        <v/>
      </c>
      <c r="K6" s="36" t="str">
        <f>IFERROR(__xludf.DUMMYFUNCTION("IFERROR(INDEX(FILTER('棲息地'!$D$2:$D995, ISNUMBER(SEARCH($B6, '棲息地'!$D$2:$D995))), 2), """")"),"")</f>
        <v/>
      </c>
      <c r="L6" s="36" t="str">
        <f>IFERROR(__xludf.DUMMYFUNCTION("IFERROR(INDEX(FILTER('棲息地'!$D$2:$D995, ISNUMBER(SEARCH($B6, '棲息地'!$D$2:$D995))), 3), """")"),"")</f>
        <v/>
      </c>
      <c r="M6" s="36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22.5" customHeight="1">
      <c r="A7" s="33" t="s">
        <v>1098</v>
      </c>
      <c r="B7" s="34" t="s">
        <v>213</v>
      </c>
      <c r="C7" s="35" t="s">
        <v>1099</v>
      </c>
      <c r="D7" s="34" t="s">
        <v>1080</v>
      </c>
      <c r="E7" s="35" t="s">
        <v>1093</v>
      </c>
      <c r="F7" s="35" t="s">
        <v>1100</v>
      </c>
      <c r="G7" s="35" t="s">
        <v>1095</v>
      </c>
      <c r="H7" s="36" t="str">
        <f>IFERROR(__xludf.DUMMYFUNCTION("IFERROR(INDEX(FILTER('棲息地'!$B$2:$B995 &amp; "" / "" &amp; '棲息地'!$C$2:$C995, ISNUMBER(SEARCH($B7, '棲息地'!$D$2:$D995))), 1), """")"),"綠色的草叢 / 綠草 ×4")</f>
        <v>綠色的草叢 / 綠草 ×4</v>
      </c>
      <c r="I7" s="36" t="str">
        <f>IFERROR(__xludf.DUMMYFUNCTION("IFERROR(INDEX(FILTER('棲息地'!$D$2:$D995, ISNUMBER(SEARCH($B7, '棲息地'!$D$2:$D995))), 1), """")"),"妙蛙種子、小火龍、噴火龍、傑尼龜、走路草、小拳石（空空鎮)")</f>
        <v>妙蛙種子、小火龍、噴火龍、傑尼龜、走路草、小拳石（空空鎮)</v>
      </c>
      <c r="J7" s="36" t="str">
        <f>IFERROR(__xludf.DUMMYFUNCTION("IFERROR(INDEX(FILTER('棲息地'!$B$2:$B995 &amp; "" / "" &amp; '棲息地'!$C$2:$C995, ISNUMBER(SEARCH($B7, '棲息地'!$D$2:$D995))), 2), """")"),"樹果露營大餐 / 晴天漂浮泡泡娃娃 ×2、營火 ×1、樹果籃 ×1、高處 ×1")</f>
        <v>樹果露營大餐 / 晴天漂浮泡泡娃娃 ×2、營火 ×1、樹果籃 ×1、高處 ×1</v>
      </c>
      <c r="K7" s="36" t="str">
        <f>IFERROR(__xludf.DUMMYFUNCTION("IFERROR(INDEX(FILTER('棲息地'!$D$2:$D995, ISNUMBER(SEARCH($B7, '棲息地'!$D$2:$D995))), 2), """")"),"噴火龍")</f>
        <v>噴火龍</v>
      </c>
      <c r="L7" s="36" t="str">
        <f>IFERROR(__xludf.DUMMYFUNCTION("IFERROR(INDEX(FILTER('棲息地'!$D$2:$D995, ISNUMBER(SEARCH($B7, '棲息地'!$D$2:$D995))), 3), """")"),"")</f>
        <v/>
      </c>
      <c r="M7" s="36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22.5" customHeight="1">
      <c r="A8" s="33" t="s">
        <v>1101</v>
      </c>
      <c r="B8" s="34" t="s">
        <v>1102</v>
      </c>
      <c r="C8" s="35" t="s">
        <v>1103</v>
      </c>
      <c r="D8" s="34" t="s">
        <v>1080</v>
      </c>
      <c r="E8" s="35" t="s">
        <v>1103</v>
      </c>
      <c r="F8" s="35" t="s">
        <v>1104</v>
      </c>
      <c r="G8" s="35" t="s">
        <v>1083</v>
      </c>
      <c r="H8" s="36" t="str">
        <f>IFERROR(__xludf.DUMMYFUNCTION("IFERROR(INDEX(FILTER('棲息地'!$B$2:$B995 &amp; "" / "" &amp; '棲息地'!$C$2:$C995, ISNUMBER(SEARCH($B8, '棲息地'!$D$2:$D995))), 1), """")"),"綠色的草叢 / 綠草 ×4")</f>
        <v>綠色的草叢 / 綠草 ×4</v>
      </c>
      <c r="I8" s="36" t="str">
        <f>IFERROR(__xludf.DUMMYFUNCTION("IFERROR(INDEX(FILTER('棲息地'!$D$2:$D995, ISNUMBER(SEARCH($B8, '棲息地'!$D$2:$D995))), 1), """")"),"妙蛙種子、小火龍、噴火龍、傑尼龜、走路草、小拳石（空空鎮)")</f>
        <v>妙蛙種子、小火龍、噴火龍、傑尼龜、走路草、小拳石（空空鎮)</v>
      </c>
      <c r="J8" s="36" t="str">
        <f>IFERROR(__xludf.DUMMYFUNCTION("IFERROR(INDEX(FILTER('棲息地'!$B$2:$B995 &amp; "" / "" &amp; '棲息地'!$C$2:$C995, ISNUMBER(SEARCH($B8, '棲息地'!$D$2:$D995))), 2), """")"),"濕潤的草地 / 綠草 ×4、水 ×2")</f>
        <v>濕潤的草地 / 綠草 ×4、水 ×2</v>
      </c>
      <c r="K8" s="36" t="str">
        <f>IFERROR(__xludf.DUMMYFUNCTION("IFERROR(INDEX(FILTER('棲息地'!$D$2:$D995, ISNUMBER(SEARCH($B8, '棲息地'!$D$2:$D995))), 2), """")"),"傑尼龜、卡咪龜、水箭龜、黏美兒、古月鳥（空空鎮)")</f>
        <v>傑尼龜、卡咪龜、水箭龜、黏美兒、古月鳥（空空鎮)</v>
      </c>
      <c r="L8" s="36" t="str">
        <f>IFERROR(__xludf.DUMMYFUNCTION("IFERROR(INDEX(FILTER('棲息地'!$D$2:$D995, ISNUMBER(SEARCH($B8, '棲息地'!$D$2:$D995))), 3), """")"),"")</f>
        <v/>
      </c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22.5" customHeight="1">
      <c r="A9" s="33" t="s">
        <v>1105</v>
      </c>
      <c r="B9" s="34" t="s">
        <v>1106</v>
      </c>
      <c r="C9" s="35" t="s">
        <v>1103</v>
      </c>
      <c r="D9" s="34" t="s">
        <v>1080</v>
      </c>
      <c r="E9" s="35" t="s">
        <v>1103</v>
      </c>
      <c r="F9" s="35" t="s">
        <v>1107</v>
      </c>
      <c r="G9" s="35" t="s">
        <v>1095</v>
      </c>
      <c r="H9" s="36" t="str">
        <f>IFERROR(__xludf.DUMMYFUNCTION("IFERROR(INDEX(FILTER('棲息地'!$B$2:$B995 &amp; "" / "" &amp; '棲息地'!$C$2:$C995, ISNUMBER(SEARCH($B9, '棲息地'!$D$2:$D995))), 1), """")"),"濕潤的草地 / 綠草 ×4、水 ×2")</f>
        <v>濕潤的草地 / 綠草 ×4、水 ×2</v>
      </c>
      <c r="I9" s="36" t="str">
        <f>IFERROR(__xludf.DUMMYFUNCTION("IFERROR(INDEX(FILTER('棲息地'!$D$2:$D995, ISNUMBER(SEARCH($B9, '棲息地'!$D$2:$D995))), 1), """")"),"傑尼龜、卡咪龜、水箭龜、黏美兒、古月鳥（空空鎮)")</f>
        <v>傑尼龜、卡咪龜、水箭龜、黏美兒、古月鳥（空空鎮)</v>
      </c>
      <c r="J9" s="36" t="str">
        <f>IFERROR(__xludf.DUMMYFUNCTION("IFERROR(INDEX(FILTER('棲息地'!$B$2:$B995 &amp; "" / "" &amp; '棲息地'!$C$2:$C995, ISNUMBER(SEARCH($B9, '棲息地'!$D$2:$D995))), 2), """")"),"")</f>
        <v/>
      </c>
      <c r="K9" s="36" t="str">
        <f>IFERROR(__xludf.DUMMYFUNCTION("IFERROR(INDEX(FILTER('棲息地'!$D$2:$D995, ISNUMBER(SEARCH($B9, '棲息地'!$D$2:$D995))), 2), """")"),"")</f>
        <v/>
      </c>
      <c r="L9" s="36" t="str">
        <f>IFERROR(__xludf.DUMMYFUNCTION("IFERROR(INDEX(FILTER('棲息地'!$D$2:$D995, ISNUMBER(SEARCH($B9, '棲息地'!$D$2:$D995))), 3), """")"),"")</f>
        <v/>
      </c>
      <c r="M9" s="36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22.5" customHeight="1">
      <c r="A10" s="33" t="s">
        <v>1108</v>
      </c>
      <c r="B10" s="34" t="s">
        <v>193</v>
      </c>
      <c r="C10" s="35" t="s">
        <v>1109</v>
      </c>
      <c r="D10" s="34" t="s">
        <v>1080</v>
      </c>
      <c r="E10" s="35" t="s">
        <v>1103</v>
      </c>
      <c r="F10" s="35" t="s">
        <v>1110</v>
      </c>
      <c r="G10" s="35" t="s">
        <v>1087</v>
      </c>
      <c r="H10" s="36" t="str">
        <f>IFERROR(__xludf.DUMMYFUNCTION("IFERROR(INDEX(FILTER('棲息地'!$B$2:$B995 &amp; "" / "" &amp; '棲息地'!$C$2:$C995, ISNUMBER(SEARCH($B10, '棲息地'!$D$2:$D995))), 1), """")"),"濕潤的草地 / 綠草 ×4、水 ×2")</f>
        <v>濕潤的草地 / 綠草 ×4、水 ×2</v>
      </c>
      <c r="I10" s="36" t="str">
        <f>IFERROR(__xludf.DUMMYFUNCTION("IFERROR(INDEX(FILTER('棲息地'!$D$2:$D995, ISNUMBER(SEARCH($B10, '棲息地'!$D$2:$D995))), 1), """")"),"傑尼龜、卡咪龜、水箭龜、黏美兒、古月鳥（空空鎮)")</f>
        <v>傑尼龜、卡咪龜、水箭龜、黏美兒、古月鳥（空空鎮)</v>
      </c>
      <c r="J10" s="36" t="str">
        <f>IFERROR(__xludf.DUMMYFUNCTION("IFERROR(INDEX(FILTER('棲息地'!$B$2:$B995 &amp; "" / "" &amp; '棲息地'!$C$2:$C995, ISNUMBER(SEARCH($B10, '棲息地'!$D$2:$D995))), 2), """")"),"在陰涼處漂浮玩水 / 海灘傘 ×1、水 ×2")</f>
        <v>在陰涼處漂浮玩水 / 海灘傘 ×1、水 ×2</v>
      </c>
      <c r="K10" s="36" t="str">
        <f>IFERROR(__xludf.DUMMYFUNCTION("IFERROR(INDEX(FILTER('棲息地'!$D$2:$D995, ISNUMBER(SEARCH($B10, '棲息地'!$D$2:$D995))), 2), """")"),"水箭龜")</f>
        <v>水箭龜</v>
      </c>
      <c r="L10" s="36" t="str">
        <f>IFERROR(__xludf.DUMMYFUNCTION("IFERROR(INDEX(FILTER('棲息地'!$D$2:$D995, ISNUMBER(SEARCH($B10, '棲息地'!$D$2:$D995))), 3), """")"),"")</f>
        <v/>
      </c>
      <c r="M10" s="36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22.5" customHeight="1">
      <c r="A11" s="33" t="s">
        <v>1111</v>
      </c>
      <c r="B11" s="34" t="s">
        <v>1112</v>
      </c>
      <c r="C11" s="35" t="s">
        <v>1113</v>
      </c>
      <c r="D11" s="34" t="s">
        <v>1080</v>
      </c>
      <c r="E11" s="35" t="s">
        <v>1081</v>
      </c>
      <c r="F11" s="35" t="s">
        <v>1114</v>
      </c>
      <c r="G11" s="35" t="s">
        <v>1087</v>
      </c>
      <c r="H11" s="36" t="str">
        <f>IFERROR(__xludf.DUMMYFUNCTION("IFERROR(INDEX(FILTER('棲息地'!$B$2:$B995 &amp; "" / "" &amp; '棲息地'!$C$2:$C995, ISNUMBER(SEARCH($B11, '棲息地'!$D$2:$D995))), 1), """")"),"高崗的草叢 / 綠草 ×4、高處 ×1")</f>
        <v>高崗的草叢 / 綠草 ×4、高處 ×1</v>
      </c>
      <c r="I11" s="36" t="str">
        <f>IFERROR(__xludf.DUMMYFUNCTION("IFERROR(INDEX(FILTER('棲息地'!$D$2:$D995, ISNUMBER(SEARCH($B11, '棲息地'!$D$2:$D995))), 1), """")"),"咕咕、波波、比比鳥")</f>
        <v>咕咕、波波、比比鳥</v>
      </c>
      <c r="J11" s="36" t="str">
        <f>IFERROR(__xludf.DUMMYFUNCTION("IFERROR(INDEX(FILTER('棲息地'!$B$2:$B995 &amp; "" / "" &amp; '棲息地'!$C$2:$C995, ISNUMBER(SEARCH($B11, '棲息地'!$D$2:$D995))), 2), """")"),"漂亮的花田 / 原野之花 ×4")</f>
        <v>漂亮的花田 / 原野之花 ×4</v>
      </c>
      <c r="K11" s="36" t="str">
        <f>IFERROR(__xludf.DUMMYFUNCTION("IFERROR(INDEX(FILTER('棲息地'!$D$2:$D995, ISNUMBER(SEARCH($B11, '棲息地'!$D$2:$D995))), 2), """")"),"咕咕、三蜜蜂、伊布、波波（空空鎮)、鴨嘴寶寶（空空鎮)")</f>
        <v>咕咕、三蜜蜂、伊布、波波（空空鎮)、鴨嘴寶寶（空空鎮)</v>
      </c>
      <c r="L11" s="36" t="str">
        <f>IFERROR(__xludf.DUMMYFUNCTION("IFERROR(INDEX(FILTER('棲息地'!$D$2:$D995, ISNUMBER(SEARCH($B11, '棲息地'!$D$2:$D995))), 3), """")"),"")</f>
        <v/>
      </c>
      <c r="M11" s="36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22.5" customHeight="1">
      <c r="A12" s="33" t="s">
        <v>1115</v>
      </c>
      <c r="B12" s="34" t="s">
        <v>1116</v>
      </c>
      <c r="C12" s="35" t="s">
        <v>1113</v>
      </c>
      <c r="D12" s="34" t="s">
        <v>1080</v>
      </c>
      <c r="E12" s="35" t="s">
        <v>1081</v>
      </c>
      <c r="F12" s="35" t="s">
        <v>1117</v>
      </c>
      <c r="G12" s="35" t="s">
        <v>1095</v>
      </c>
      <c r="H12" s="36" t="str">
        <f>IFERROR(__xludf.DUMMYFUNCTION("IFERROR(INDEX(FILTER('棲息地'!$B$2:$B995 &amp; "" / "" &amp; '棲息地'!$C$2:$C995, ISNUMBER(SEARCH($B12, '棲息地'!$D$2:$D995))), 1), """")"),"高崗的草叢 / 綠草 ×4、高處 ×1")</f>
        <v>高崗的草叢 / 綠草 ×4、高處 ×1</v>
      </c>
      <c r="I12" s="36" t="str">
        <f>IFERROR(__xludf.DUMMYFUNCTION("IFERROR(INDEX(FILTER('棲息地'!$D$2:$D995, ISNUMBER(SEARCH($B12, '棲息地'!$D$2:$D995))), 1), """")"),"咕咕、波波、比比鳥")</f>
        <v>咕咕、波波、比比鳥</v>
      </c>
      <c r="J12" s="36" t="str">
        <f>IFERROR(__xludf.DUMMYFUNCTION("IFERROR(INDEX(FILTER('棲息地'!$B$2:$B995 &amp; "" / "" &amp; '棲息地'!$C$2:$C995, ISNUMBER(SEARCH($B12, '棲息地'!$D$2:$D995))), 2), """")"),"")</f>
        <v/>
      </c>
      <c r="K12" s="36" t="str">
        <f>IFERROR(__xludf.DUMMYFUNCTION("IFERROR(INDEX(FILTER('棲息地'!$D$2:$D995, ISNUMBER(SEARCH($B12, '棲息地'!$D$2:$D995))), 2), """")"),"")</f>
        <v/>
      </c>
      <c r="L12" s="36" t="str">
        <f>IFERROR(__xludf.DUMMYFUNCTION("IFERROR(INDEX(FILTER('棲息地'!$D$2:$D995, ISNUMBER(SEARCH($B12, '棲息地'!$D$2:$D995))), 3), """")"),"")</f>
        <v/>
      </c>
      <c r="M12" s="36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22.5" customHeight="1">
      <c r="A13" s="33" t="s">
        <v>1118</v>
      </c>
      <c r="B13" s="34" t="s">
        <v>1119</v>
      </c>
      <c r="C13" s="35" t="s">
        <v>1120</v>
      </c>
      <c r="D13" s="34" t="s">
        <v>1080</v>
      </c>
      <c r="E13" s="35" t="s">
        <v>1081</v>
      </c>
      <c r="F13" s="35" t="s">
        <v>1121</v>
      </c>
      <c r="G13" s="35" t="s">
        <v>1087</v>
      </c>
      <c r="H13" s="36" t="str">
        <f>IFERROR(__xludf.DUMMYFUNCTION("IFERROR(INDEX(FILTER('棲息地'!$B$2:$B995 &amp; "" / "" &amp; '棲息地'!$C$2:$C995, ISNUMBER(SEARCH($B13, '棲息地'!$D$2:$D995))), 1), """")"),"豪華小雞飼料 / 裝有樹果的籃子 ×1、木製鳥巢箱 ×1")</f>
        <v>豪華小雞飼料 / 裝有樹果的籃子 ×1、木製鳥巢箱 ×1</v>
      </c>
      <c r="I13" s="36" t="str">
        <f>IFERROR(__xludf.DUMMYFUNCTION("IFERROR(INDEX(FILTER('棲息地'!$D$2:$D995, ISNUMBER(SEARCH($B13, '棲息地'!$D$2:$D995))), 1), """")"),"大比鳥（★）")</f>
        <v>大比鳥（★）</v>
      </c>
      <c r="J13" s="36" t="str">
        <f>IFERROR(__xludf.DUMMYFUNCTION("IFERROR(INDEX(FILTER('棲息地'!$B$2:$B995 &amp; "" / "" &amp; '棲息地'!$C$2:$C995, ISNUMBER(SEARCH($B13, '棲息地'!$D$2:$D995))), 2), """")"),"")</f>
        <v/>
      </c>
      <c r="K13" s="36" t="str">
        <f>IFERROR(__xludf.DUMMYFUNCTION("IFERROR(INDEX(FILTER('棲息地'!$D$2:$D995, ISNUMBER(SEARCH($B13, '棲息地'!$D$2:$D995))), 2), """")"),"")</f>
        <v/>
      </c>
      <c r="L13" s="36" t="str">
        <f>IFERROR(__xludf.DUMMYFUNCTION("IFERROR(INDEX(FILTER('棲息地'!$D$2:$D995, ISNUMBER(SEARCH($B13, '棲息地'!$D$2:$D995))), 3), """")"),"")</f>
        <v/>
      </c>
      <c r="M13" s="36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22.5" customHeight="1">
      <c r="A14" s="33" t="s">
        <v>1122</v>
      </c>
      <c r="B14" s="34" t="s">
        <v>1123</v>
      </c>
      <c r="C14" s="35" t="s">
        <v>1079</v>
      </c>
      <c r="D14" s="34" t="s">
        <v>1080</v>
      </c>
      <c r="E14" s="35" t="s">
        <v>1103</v>
      </c>
      <c r="F14" s="35" t="s">
        <v>1124</v>
      </c>
      <c r="G14" s="35" t="s">
        <v>1125</v>
      </c>
      <c r="H14" s="36" t="str">
        <f>IFERROR(__xludf.DUMMYFUNCTION("IFERROR(INDEX(FILTER('棲息地'!$B$2:$B995 &amp; "" / "" &amp; '棲息地'!$C$2:$C995, ISNUMBER(SEARCH($B14, '棲息地'!$D$2:$D995))), 1), """")"),"綠色的草叢 / 綠草 ×4")</f>
        <v>綠色的草叢 / 綠草 ×4</v>
      </c>
      <c r="I14" s="36" t="str">
        <f>IFERROR(__xludf.DUMMYFUNCTION("IFERROR(INDEX(FILTER('棲息地'!$D$2:$D995, ISNUMBER(SEARCH($B14, '棲息地'!$D$2:$D995))), 1), """")"),"妙蛙種子、小火龍、噴火龍、傑尼龜、走路草、小拳石（空空鎮)")</f>
        <v>妙蛙種子、小火龍、噴火龍、傑尼龜、走路草、小拳石（空空鎮)</v>
      </c>
      <c r="J14" s="36" t="str">
        <f>IFERROR(__xludf.DUMMYFUNCTION("IFERROR(INDEX(FILTER('棲息地'!$B$2:$B995 &amp; "" / "" &amp; '棲息地'!$C$2:$C995, ISNUMBER(SEARCH($B14, '棲息地'!$D$2:$D995))), 2), """")"),"")</f>
        <v/>
      </c>
      <c r="K14" s="36" t="str">
        <f>IFERROR(__xludf.DUMMYFUNCTION("IFERROR(INDEX(FILTER('棲息地'!$D$2:$D995, ISNUMBER(SEARCH($B14, '棲息地'!$D$2:$D995))), 2), """")"),"")</f>
        <v/>
      </c>
      <c r="L14" s="36" t="str">
        <f>IFERROR(__xludf.DUMMYFUNCTION("IFERROR(INDEX(FILTER('棲息地'!$D$2:$D995, ISNUMBER(SEARCH($B14, '棲息地'!$D$2:$D995))), 3), """")"),"")</f>
        <v/>
      </c>
      <c r="M14" s="36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22.5" customHeight="1">
      <c r="A15" s="33" t="s">
        <v>1126</v>
      </c>
      <c r="B15" s="34" t="s">
        <v>1127</v>
      </c>
      <c r="C15" s="35" t="s">
        <v>1079</v>
      </c>
      <c r="D15" s="34" t="s">
        <v>1080</v>
      </c>
      <c r="E15" s="35" t="s">
        <v>1103</v>
      </c>
      <c r="F15" s="35" t="s">
        <v>1128</v>
      </c>
      <c r="G15" s="35" t="s">
        <v>1129</v>
      </c>
      <c r="H15" s="36" t="str">
        <f>IFERROR(__xludf.DUMMYFUNCTION("IFERROR(INDEX(FILTER('棲息地'!$B$2:$B995 &amp; "" / "" &amp; '棲息地'!$C$2:$C995, ISNUMBER(SEARCH($B15, '棲息地'!$D$2:$D995))), 1), """")"),"南國氣氛 / 大椰子樹 ×1、海邊之花 ×4")</f>
        <v>南國氣氛 / 大椰子樹 ×1、海邊之花 ×4</v>
      </c>
      <c r="I15" s="36" t="str">
        <f>IFERROR(__xludf.DUMMYFUNCTION("IFERROR(INDEX(FILTER('棲息地'!$D$2:$D995, ISNUMBER(SEARCH($B15, '棲息地'!$D$2:$D995))), 1), """")"),"椰蛋樹、臭臭花、蛋蛋")</f>
        <v>椰蛋樹、臭臭花、蛋蛋</v>
      </c>
      <c r="J15" s="36" t="str">
        <f>IFERROR(__xludf.DUMMYFUNCTION("IFERROR(INDEX(FILTER('棲息地'!$B$2:$B995 &amp; "" / "" &amp; '棲息地'!$C$2:$C995, ISNUMBER(SEARCH($B15, '棲息地'!$D$2:$D995))), 2), """")"),"")</f>
        <v/>
      </c>
      <c r="K15" s="36" t="str">
        <f>IFERROR(__xludf.DUMMYFUNCTION("IFERROR(INDEX(FILTER('棲息地'!$D$2:$D995, ISNUMBER(SEARCH($B15, '棲息地'!$D$2:$D995))), 2), """")"),"")</f>
        <v/>
      </c>
      <c r="L15" s="36" t="str">
        <f>IFERROR(__xludf.DUMMYFUNCTION("IFERROR(INDEX(FILTER('棲息地'!$D$2:$D995, ISNUMBER(SEARCH($B15, '棲息地'!$D$2:$D995))), 3), """")"),"")</f>
        <v/>
      </c>
      <c r="M15" s="36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22.5" customHeight="1">
      <c r="A16" s="33" t="s">
        <v>1130</v>
      </c>
      <c r="B16" s="34" t="s">
        <v>1131</v>
      </c>
      <c r="C16" s="35" t="s">
        <v>1089</v>
      </c>
      <c r="D16" s="35" t="s">
        <v>1090</v>
      </c>
      <c r="E16" s="35" t="s">
        <v>1103</v>
      </c>
      <c r="F16" s="35" t="s">
        <v>1132</v>
      </c>
      <c r="G16" s="35" t="s">
        <v>1125</v>
      </c>
      <c r="H16" s="36" t="str">
        <f>IFERROR(__xludf.DUMMYFUNCTION("IFERROR(INDEX(FILTER('棲息地'!$B$2:$B995 &amp; "" / "" &amp; '棲息地'!$C$2:$C995, ISNUMBER(SEARCH($B16, '棲息地'!$D$2:$D995))), 1), """")"),"吉利蛋休息處 / 樹籬(任意) ×6、椅子(長條) ×1")</f>
        <v>吉利蛋休息處 / 樹籬(任意) ×6、椅子(長條) ×1</v>
      </c>
      <c r="I16" s="36" t="str">
        <f>IFERROR(__xludf.DUMMYFUNCTION("IFERROR(INDEX(FILTER('棲息地'!$D$2:$D995, ISNUMBER(SEARCH($B16, '棲息地'!$D$2:$D995))), 1), """")"),"霸王花、美麗花")</f>
        <v>霸王花、美麗花</v>
      </c>
      <c r="J16" s="36" t="str">
        <f>IFERROR(__xludf.DUMMYFUNCTION("IFERROR(INDEX(FILTER('棲息地'!$B$2:$B995 &amp; "" / "" &amp; '棲息地'!$C$2:$C995, ISNUMBER(SEARCH($B16, '棲息地'!$D$2:$D995))), 2), """")"),"")</f>
        <v/>
      </c>
      <c r="K16" s="36" t="str">
        <f>IFERROR(__xludf.DUMMYFUNCTION("IFERROR(INDEX(FILTER('棲息地'!$D$2:$D995, ISNUMBER(SEARCH($B16, '棲息地'!$D$2:$D995))), 2), """")"),"")</f>
        <v/>
      </c>
      <c r="L16" s="36" t="str">
        <f>IFERROR(__xludf.DUMMYFUNCTION("IFERROR(INDEX(FILTER('棲息地'!$D$2:$D995, ISNUMBER(SEARCH($B16, '棲息地'!$D$2:$D995))), 3), """")"),"")</f>
        <v/>
      </c>
      <c r="M16" s="36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22.5" customHeight="1">
      <c r="A17" s="33" t="s">
        <v>1133</v>
      </c>
      <c r="B17" s="34" t="s">
        <v>1134</v>
      </c>
      <c r="C17" s="35" t="s">
        <v>1135</v>
      </c>
      <c r="D17" s="34" t="s">
        <v>1080</v>
      </c>
      <c r="E17" s="35" t="s">
        <v>1081</v>
      </c>
      <c r="F17" s="35" t="s">
        <v>1136</v>
      </c>
      <c r="G17" s="35" t="s">
        <v>1087</v>
      </c>
      <c r="H17" s="36" t="str">
        <f>IFERROR(__xludf.DUMMYFUNCTION("IFERROR(INDEX(FILTER('棲息地'!$B$2:$B995 &amp; "" / "" &amp; '棲息地'!$C$2:$C995, ISNUMBER(SEARCH($B17, '棲息地'!$D$2:$D995))), 1), """")"),"吉利蛋休息處 / 樹籬(任意) ×6、椅子(長條) ×1")</f>
        <v>吉利蛋休息處 / 樹籬(任意) ×6、椅子(長條) ×1</v>
      </c>
      <c r="I17" s="36" t="str">
        <f>IFERROR(__xludf.DUMMYFUNCTION("IFERROR(INDEX(FILTER('棲息地'!$D$2:$D995, ISNUMBER(SEARCH($B17, '棲息地'!$D$2:$D995))), 1), """")"),"霸王花、美麗花")</f>
        <v>霸王花、美麗花</v>
      </c>
      <c r="J17" s="36" t="str">
        <f>IFERROR(__xludf.DUMMYFUNCTION("IFERROR(INDEX(FILTER('棲息地'!$B$2:$B995 &amp; "" / "" &amp; '棲息地'!$C$2:$C995, ISNUMBER(SEARCH($B17, '棲息地'!$D$2:$D995))), 2), """")"),"")</f>
        <v/>
      </c>
      <c r="K17" s="36" t="str">
        <f>IFERROR(__xludf.DUMMYFUNCTION("IFERROR(INDEX(FILTER('棲息地'!$D$2:$D995, ISNUMBER(SEARCH($B17, '棲息地'!$D$2:$D995))), 2), """")"),"")</f>
        <v/>
      </c>
      <c r="L17" s="36" t="str">
        <f>IFERROR(__xludf.DUMMYFUNCTION("IFERROR(INDEX(FILTER('棲息地'!$D$2:$D995, ISNUMBER(SEARCH($B17, '棲息地'!$D$2:$D995))), 3), """")"),"")</f>
        <v/>
      </c>
      <c r="M17" s="36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2.5" customHeight="1">
      <c r="A18" s="33" t="s">
        <v>1137</v>
      </c>
      <c r="B18" s="34" t="s">
        <v>1138</v>
      </c>
      <c r="C18" s="35" t="s">
        <v>1139</v>
      </c>
      <c r="D18" s="34" t="s">
        <v>1080</v>
      </c>
      <c r="E18" s="35" t="s">
        <v>1103</v>
      </c>
      <c r="F18" s="35" t="s">
        <v>1140</v>
      </c>
      <c r="G18" s="35" t="s">
        <v>1125</v>
      </c>
      <c r="H18" s="36" t="str">
        <f>IFERROR(__xludf.DUMMYFUNCTION("IFERROR(INDEX(FILTER('棲息地'!$B$2:$B995 &amp; "" / "" &amp; '棲息地'!$C$2:$C995, ISNUMBER(SEARCH($B18, '棲息地'!$D$2:$D995))), 1), """")"),"高崗的花海 / 原野之花 ×4、高處 ×1")</f>
        <v>高崗的花海 / 原野之花 ×4、高處 ×1</v>
      </c>
      <c r="I18" s="36" t="str">
        <f>IFERROR(__xludf.DUMMYFUNCTION("IFERROR(INDEX(FILTER('棲息地'!$D$2:$D995, ISNUMBER(SEARCH($B18, '棲息地'!$D$2:$D995))), 1), """")"),"派拉斯、派拉斯特")</f>
        <v>派拉斯、派拉斯特</v>
      </c>
      <c r="J18" s="36" t="str">
        <f>IFERROR(__xludf.DUMMYFUNCTION("IFERROR(INDEX(FILTER('棲息地'!$B$2:$B995 &amp; "" / "" &amp; '棲息地'!$C$2:$C995, ISNUMBER(SEARCH($B18, '棲息地'!$D$2:$D995))), 2), """")"),"花園 / 樹籬(任意) ×4、原野之花 ×4")</f>
        <v>花園 / 樹籬(任意) ×4、原野之花 ×4</v>
      </c>
      <c r="K18" s="36" t="str">
        <f>IFERROR(__xludf.DUMMYFUNCTION("IFERROR(INDEX(FILTER('棲息地'!$D$2:$D995, ISNUMBER(SEARCH($B18, '棲息地'!$D$2:$D995))), 2), """")"),"派拉斯、派拉斯特")</f>
        <v>派拉斯、派拉斯特</v>
      </c>
      <c r="L18" s="36" t="str">
        <f>IFERROR(__xludf.DUMMYFUNCTION("IFERROR(INDEX(FILTER('棲息地'!$D$2:$D995, ISNUMBER(SEARCH($B18, '棲息地'!$D$2:$D995))), 3), """")"),"")</f>
        <v/>
      </c>
      <c r="M18" s="36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2.5" customHeight="1">
      <c r="A19" s="33" t="s">
        <v>1141</v>
      </c>
      <c r="B19" s="34" t="s">
        <v>1142</v>
      </c>
      <c r="C19" s="35" t="s">
        <v>1139</v>
      </c>
      <c r="D19" s="34" t="s">
        <v>1080</v>
      </c>
      <c r="E19" s="35" t="s">
        <v>1103</v>
      </c>
      <c r="F19" s="35" t="s">
        <v>1143</v>
      </c>
      <c r="G19" s="35" t="s">
        <v>1125</v>
      </c>
      <c r="H19" s="36" t="str">
        <f>IFERROR(__xludf.DUMMYFUNCTION("IFERROR(INDEX(FILTER('棲息地'!$B$2:$B995 &amp; "" / "" &amp; '棲息地'!$C$2:$C995, ISNUMBER(SEARCH($B19, '棲息地'!$D$2:$D995))), 1), """")"),"高崗的花海 / 原野之花 ×4、高處 ×1")</f>
        <v>高崗的花海 / 原野之花 ×4、高處 ×1</v>
      </c>
      <c r="I19" s="36" t="str">
        <f>IFERROR(__xludf.DUMMYFUNCTION("IFERROR(INDEX(FILTER('棲息地'!$D$2:$D995, ISNUMBER(SEARCH($B19, '棲息地'!$D$2:$D995))), 1), """")"),"派拉斯、派拉斯特")</f>
        <v>派拉斯、派拉斯特</v>
      </c>
      <c r="J19" s="36" t="str">
        <f>IFERROR(__xludf.DUMMYFUNCTION("IFERROR(INDEX(FILTER('棲息地'!$B$2:$B995 &amp; "" / "" &amp; '棲息地'!$C$2:$C995, ISNUMBER(SEARCH($B19, '棲息地'!$D$2:$D995))), 2), """")"),"花園 / 樹籬(任意) ×4、原野之花 ×4")</f>
        <v>花園 / 樹籬(任意) ×4、原野之花 ×4</v>
      </c>
      <c r="K19" s="36" t="str">
        <f>IFERROR(__xludf.DUMMYFUNCTION("IFERROR(INDEX(FILTER('棲息地'!$D$2:$D995, ISNUMBER(SEARCH($B19, '棲息地'!$D$2:$D995))), 2), """")"),"派拉斯、派拉斯特")</f>
        <v>派拉斯、派拉斯特</v>
      </c>
      <c r="L19" s="36" t="str">
        <f>IFERROR(__xludf.DUMMYFUNCTION("IFERROR(INDEX(FILTER('棲息地'!$D$2:$D995, ISNUMBER(SEARCH($B19, '棲息地'!$D$2:$D995))), 3), """")"),"")</f>
        <v/>
      </c>
      <c r="M19" s="36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2.5" customHeight="1">
      <c r="A20" s="33" t="s">
        <v>1144</v>
      </c>
      <c r="B20" s="34" t="s">
        <v>128</v>
      </c>
      <c r="C20" s="35" t="s">
        <v>1139</v>
      </c>
      <c r="D20" s="34" t="s">
        <v>1080</v>
      </c>
      <c r="E20" s="35" t="s">
        <v>1081</v>
      </c>
      <c r="F20" s="35" t="s">
        <v>1145</v>
      </c>
      <c r="G20" s="35" t="s">
        <v>1125</v>
      </c>
      <c r="H20" s="36" t="str">
        <f>IFERROR(__xludf.DUMMYFUNCTION("IFERROR(INDEX(FILTER('棲息地'!$B$2:$B995 &amp; "" / "" &amp; '棲息地'!$C$2:$C995, ISNUMBER(SEARCH($B20, '棲息地'!$D$2:$D995))), 1), """")"),"光照的草叢 / 草叢(任意) ×4、照明(任意) ×1")</f>
        <v>光照的草叢 / 草叢(任意) ×4、照明(任意) ×1</v>
      </c>
      <c r="I20" s="36" t="str">
        <f>IFERROR(__xludf.DUMMYFUNCTION("IFERROR(INDEX(FILTER('棲息地'!$D$2:$D995, ISNUMBER(SEARCH($B20, '棲息地'!$D$2:$D995))), 1), """")"),"毛球、摩魯蛾")</f>
        <v>毛球、摩魯蛾</v>
      </c>
      <c r="J20" s="36" t="str">
        <f>IFERROR(__xludf.DUMMYFUNCTION("IFERROR(INDEX(FILTER('棲息地'!$B$2:$B995 &amp; "" / "" &amp; '棲息地'!$C$2:$C995, ISNUMBER(SEARCH($B20, '棲息地'!$D$2:$D995))), 2), """")"),"光照的長椅 / 椅子(長條) ×1、路燈(任意) ×1")</f>
        <v>光照的長椅 / 椅子(長條) ×1、路燈(任意) ×1</v>
      </c>
      <c r="K20" s="36" t="str">
        <f>IFERROR(__xludf.DUMMYFUNCTION("IFERROR(INDEX(FILTER('棲息地'!$D$2:$D995, ISNUMBER(SEARCH($B20, '棲息地'!$D$2:$D995))), 2), """")"),"毛球")</f>
        <v>毛球</v>
      </c>
      <c r="L20" s="36" t="str">
        <f>IFERROR(__xludf.DUMMYFUNCTION("IFERROR(INDEX(FILTER('棲息地'!$D$2:$D995, ISNUMBER(SEARCH($B20, '棲息地'!$D$2:$D995))), 3), """")"),"")</f>
        <v/>
      </c>
      <c r="M20" s="36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22.5" customHeight="1">
      <c r="A21" s="33" t="s">
        <v>1146</v>
      </c>
      <c r="B21" s="34" t="s">
        <v>1147</v>
      </c>
      <c r="C21" s="35" t="s">
        <v>1139</v>
      </c>
      <c r="D21" s="34" t="s">
        <v>1080</v>
      </c>
      <c r="E21" s="35" t="s">
        <v>1081</v>
      </c>
      <c r="F21" s="35" t="s">
        <v>1148</v>
      </c>
      <c r="G21" s="35" t="s">
        <v>1125</v>
      </c>
      <c r="H21" s="36" t="str">
        <f>IFERROR(__xludf.DUMMYFUNCTION("IFERROR(INDEX(FILTER('棲息地'!$B$2:$B995 &amp; "" / "" &amp; '棲息地'!$C$2:$C995, ISNUMBER(SEARCH($B21, '棲息地'!$D$2:$D995))), 1), """")"),"光照的草叢 / 草叢(任意) ×4、照明(任意) ×1")</f>
        <v>光照的草叢 / 草叢(任意) ×4、照明(任意) ×1</v>
      </c>
      <c r="I21" s="36" t="str">
        <f>IFERROR(__xludf.DUMMYFUNCTION("IFERROR(INDEX(FILTER('棲息地'!$D$2:$D995, ISNUMBER(SEARCH($B21, '棲息地'!$D$2:$D995))), 1), """")"),"毛球、摩魯蛾")</f>
        <v>毛球、摩魯蛾</v>
      </c>
      <c r="J21" s="36" t="str">
        <f>IFERROR(__xludf.DUMMYFUNCTION("IFERROR(INDEX(FILTER('棲息地'!$B$2:$B995 &amp; "" / "" &amp; '棲息地'!$C$2:$C995, ISNUMBER(SEARCH($B21, '棲息地'!$D$2:$D995))), 2), """")"),"")</f>
        <v/>
      </c>
      <c r="K21" s="36" t="str">
        <f>IFERROR(__xludf.DUMMYFUNCTION("IFERROR(INDEX(FILTER('棲息地'!$D$2:$D995, ISNUMBER(SEARCH($B21, '棲息地'!$D$2:$D995))), 2), """")"),"")</f>
        <v/>
      </c>
      <c r="L21" s="36" t="str">
        <f>IFERROR(__xludf.DUMMYFUNCTION("IFERROR(INDEX(FILTER('棲息地'!$D$2:$D995, ISNUMBER(SEARCH($B21, '棲息地'!$D$2:$D995))), 3), """")"),"")</f>
        <v/>
      </c>
      <c r="M21" s="36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22.5" customHeight="1">
      <c r="A22" s="33" t="s">
        <v>1149</v>
      </c>
      <c r="B22" s="34" t="s">
        <v>1150</v>
      </c>
      <c r="C22" s="35" t="s">
        <v>1089</v>
      </c>
      <c r="D22" s="35" t="s">
        <v>1151</v>
      </c>
      <c r="E22" s="35" t="s">
        <v>1103</v>
      </c>
      <c r="F22" s="35" t="s">
        <v>1152</v>
      </c>
      <c r="G22" s="35" t="s">
        <v>1129</v>
      </c>
      <c r="H22" s="36" t="str">
        <f>IFERROR(__xludf.DUMMYFUNCTION("IFERROR(INDEX(FILTER('棲息地'!$B$2:$B995 &amp; "" / "" &amp; '棲息地'!$C$2:$C995, ISNUMBER(SEARCH($B22, '棲息地'!$D$2:$D995))), 1), """")"),"樹蔭的草叢 / 大樹 ×1、綠草 ×4")</f>
        <v>樹蔭的草叢 / 大樹 ×1、綠草 ×4</v>
      </c>
      <c r="I22" s="36" t="str">
        <f>IFERROR(__xludf.DUMMYFUNCTION("IFERROR(INDEX(FILTER('棲息地'!$D$2:$D995, ISNUMBER(SEARCH($B22, '棲息地'!$D$2:$D995))), 1), """")"),"飛天螳螂、喇叭芽、巨鉗螳螂（空空鎮)、赫拉克羅斯、凱羅斯、貪心栗鼠（空空鎮)")</f>
        <v>飛天螳螂、喇叭芽、巨鉗螳螂（空空鎮)、赫拉克羅斯、凱羅斯、貪心栗鼠（空空鎮)</v>
      </c>
      <c r="J22" s="36" t="str">
        <f>IFERROR(__xludf.DUMMYFUNCTION("IFERROR(INDEX(FILTER('棲息地'!$B$2:$B995 &amp; "" / "" &amp; '棲息地'!$C$2:$C995, ISNUMBER(SEARCH($B22, '棲息地'!$D$2:$D995))), 2), """")"),"")</f>
        <v/>
      </c>
      <c r="K22" s="36" t="str">
        <f>IFERROR(__xludf.DUMMYFUNCTION("IFERROR(INDEX(FILTER('棲息地'!$D$2:$D995, ISNUMBER(SEARCH($B22, '棲息地'!$D$2:$D995))), 2), """")"),"")</f>
        <v/>
      </c>
      <c r="L22" s="36" t="str">
        <f>IFERROR(__xludf.DUMMYFUNCTION("IFERROR(INDEX(FILTER('棲息地'!$D$2:$D995, ISNUMBER(SEARCH($B22, '棲息地'!$D$2:$D995))), 3), """")"),"")</f>
        <v/>
      </c>
      <c r="M22" s="36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22.5" customHeight="1">
      <c r="A23" s="33" t="s">
        <v>1153</v>
      </c>
      <c r="B23" s="34" t="s">
        <v>188</v>
      </c>
      <c r="C23" s="35" t="s">
        <v>1089</v>
      </c>
      <c r="D23" s="35" t="s">
        <v>1151</v>
      </c>
      <c r="E23" s="35" t="s">
        <v>1103</v>
      </c>
      <c r="F23" s="35" t="s">
        <v>1154</v>
      </c>
      <c r="G23" s="35" t="s">
        <v>1125</v>
      </c>
      <c r="H23" s="36" t="str">
        <f>IFERROR(__xludf.DUMMYFUNCTION("IFERROR(INDEX(FILTER('棲息地'!$B$2:$B995 &amp; "" / "" &amp; '棲息地'!$C$2:$C995, ISNUMBER(SEARCH($B23, '棲息地'!$D$2:$D995))), 1), """")"),"華麗的桌子 / 椅子(任意) ×1、桌子(任意) ×1")</f>
        <v>華麗的桌子 / 椅子(任意) ×1、桌子(任意) ×1</v>
      </c>
      <c r="I23" s="36" t="str">
        <f>IFERROR(__xludf.DUMMYFUNCTION("IFERROR(INDEX(FILTER('棲息地'!$D$2:$D995, ISNUMBER(SEARCH($B23, '棲息地'!$D$2:$D995))), 1), """")"),"口呆花、大食花")</f>
        <v>口呆花、大食花</v>
      </c>
      <c r="J23" s="36" t="str">
        <f>IFERROR(__xludf.DUMMYFUNCTION("IFERROR(INDEX(FILTER('棲息地'!$B$2:$B995 &amp; "" / "" &amp; '棲息地'!$C$2:$C995, ISNUMBER(SEARCH($B23, '棲息地'!$D$2:$D995))), 2), """")"),"光與香氣的勾引 / 盤子上的食物 ×1")</f>
        <v>光與香氣的勾引 / 盤子上的食物 ×1</v>
      </c>
      <c r="K23" s="36" t="str">
        <f>IFERROR(__xludf.DUMMYFUNCTION("IFERROR(INDEX(FILTER('棲息地'!$D$2:$D995, ISNUMBER(SEARCH($B23, '棲息地'!$D$2:$D995))), 2), """")"),"口呆花")</f>
        <v>口呆花</v>
      </c>
      <c r="L23" s="36" t="str">
        <f>IFERROR(__xludf.DUMMYFUNCTION("IFERROR(INDEX(FILTER('棲息地'!$D$2:$D995, ISNUMBER(SEARCH($B23, '棲息地'!$D$2:$D995))), 3), """")"),"")</f>
        <v/>
      </c>
      <c r="M23" s="36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22.5" customHeight="1">
      <c r="A24" s="33" t="s">
        <v>1155</v>
      </c>
      <c r="B24" s="34" t="s">
        <v>1156</v>
      </c>
      <c r="C24" s="35" t="s">
        <v>1157</v>
      </c>
      <c r="D24" s="34" t="s">
        <v>1080</v>
      </c>
      <c r="E24" s="35" t="s">
        <v>1103</v>
      </c>
      <c r="F24" s="35" t="s">
        <v>1154</v>
      </c>
      <c r="G24" s="35" t="s">
        <v>1125</v>
      </c>
      <c r="H24" s="36" t="str">
        <f>IFERROR(__xludf.DUMMYFUNCTION("IFERROR(INDEX(FILTER('棲息地'!$B$2:$B995 &amp; "" / "" &amp; '棲息地'!$C$2:$C995, ISNUMBER(SEARCH($B24, '棲息地'!$D$2:$D995))), 1), """")"),"華麗的桌子 / 椅子(任意) ×1、桌子(任意) ×1")</f>
        <v>華麗的桌子 / 椅子(任意) ×1、桌子(任意) ×1</v>
      </c>
      <c r="I24" s="36" t="str">
        <f>IFERROR(__xludf.DUMMYFUNCTION("IFERROR(INDEX(FILTER('棲息地'!$D$2:$D995, ISNUMBER(SEARCH($B24, '棲息地'!$D$2:$D995))), 1), """")"),"口呆花、大食花")</f>
        <v>口呆花、大食花</v>
      </c>
      <c r="J24" s="36" t="str">
        <f>IFERROR(__xludf.DUMMYFUNCTION("IFERROR(INDEX(FILTER('棲息地'!$B$2:$B995 &amp; "" / "" &amp; '棲息地'!$C$2:$C995, ISNUMBER(SEARCH($B24, '棲息地'!$D$2:$D995))), 2), """")"),"")</f>
        <v/>
      </c>
      <c r="K24" s="36" t="str">
        <f>IFERROR(__xludf.DUMMYFUNCTION("IFERROR(INDEX(FILTER('棲息地'!$D$2:$D995, ISNUMBER(SEARCH($B24, '棲息地'!$D$2:$D995))), 2), """")"),"")</f>
        <v/>
      </c>
      <c r="L24" s="36" t="str">
        <f>IFERROR(__xludf.DUMMYFUNCTION("IFERROR(INDEX(FILTER('棲息地'!$D$2:$D995, ISNUMBER(SEARCH($B24, '棲息地'!$D$2:$D995))), 3), """")"),"")</f>
        <v/>
      </c>
      <c r="M24" s="36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22.5" customHeight="1">
      <c r="A25" s="33" t="s">
        <v>1158</v>
      </c>
      <c r="B25" s="34" t="s">
        <v>1159</v>
      </c>
      <c r="C25" s="35" t="s">
        <v>1160</v>
      </c>
      <c r="D25" s="34" t="s">
        <v>1080</v>
      </c>
      <c r="E25" s="35" t="s">
        <v>1103</v>
      </c>
      <c r="F25" s="35" t="s">
        <v>1161</v>
      </c>
      <c r="G25" s="35" t="s">
        <v>1129</v>
      </c>
      <c r="H25" s="36" t="str">
        <f>IFERROR(__xludf.DUMMYFUNCTION("IFERROR(INDEX(FILTER('棲息地'!$B$2:$B995 &amp; "" / "" &amp; '棲息地'!$C$2:$C995, ISNUMBER(SEARCH($B25, '棲息地'!$D$2:$D995))), 1), """")"),"海浪邊的草叢 / 綠草 ×4、海水 ×2")</f>
        <v>海浪邊的草叢 / 綠草 ×4、海水 ×2</v>
      </c>
      <c r="I25" s="36" t="str">
        <f>IFERROR(__xludf.DUMMYFUNCTION("IFERROR(INDEX(FILTER('棲息地'!$D$2:$D995, ISNUMBER(SEARCH($B25, '棲息地'!$D$2:$D995))), 1), """")"),"呆呆獸、呆呆王、呆殼獸")</f>
        <v>呆呆獸、呆呆王、呆殼獸</v>
      </c>
      <c r="J25" s="36" t="str">
        <f>IFERROR(__xludf.DUMMYFUNCTION("IFERROR(INDEX(FILTER('棲息地'!$B$2:$B995 &amp; "" / "" &amp; '棲息地'!$C$2:$C995, ISNUMBER(SEARCH($B25, '棲息地'!$D$2:$D995))), 2), """")"),"")</f>
        <v/>
      </c>
      <c r="K25" s="36" t="str">
        <f>IFERROR(__xludf.DUMMYFUNCTION("IFERROR(INDEX(FILTER('棲息地'!$D$2:$D995, ISNUMBER(SEARCH($B25, '棲息地'!$D$2:$D995))), 2), """")"),"")</f>
        <v/>
      </c>
      <c r="L25" s="36" t="str">
        <f>IFERROR(__xludf.DUMMYFUNCTION("IFERROR(INDEX(FILTER('棲息地'!$D$2:$D995, ISNUMBER(SEARCH($B25, '棲息地'!$D$2:$D995))), 3), """")"),"")</f>
        <v/>
      </c>
      <c r="M25" s="36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22.5" customHeight="1">
      <c r="A26" s="33" t="s">
        <v>1162</v>
      </c>
      <c r="B26" s="34" t="s">
        <v>1163</v>
      </c>
      <c r="C26" s="35" t="s">
        <v>1109</v>
      </c>
      <c r="D26" s="34" t="s">
        <v>1080</v>
      </c>
      <c r="E26" s="35" t="s">
        <v>1103</v>
      </c>
      <c r="F26" s="35" t="s">
        <v>1164</v>
      </c>
      <c r="G26" s="35" t="s">
        <v>1129</v>
      </c>
      <c r="H26" s="36" t="str">
        <f>IFERROR(__xludf.DUMMYFUNCTION("IFERROR(INDEX(FILTER('棲息地'!$B$2:$B995 &amp; "" / "" &amp; '棲息地'!$C$2:$C995, ISNUMBER(SEARCH($B26, '棲息地'!$D$2:$D995))), 1), """")"),"海浪邊的草叢 / 綠草 ×4、海水 ×2")</f>
        <v>海浪邊的草叢 / 綠草 ×4、海水 ×2</v>
      </c>
      <c r="I26" s="36" t="str">
        <f>IFERROR(__xludf.DUMMYFUNCTION("IFERROR(INDEX(FILTER('棲息地'!$D$2:$D995, ISNUMBER(SEARCH($B26, '棲息地'!$D$2:$D995))), 1), """")"),"呆呆獸、呆呆王、呆殼獸")</f>
        <v>呆呆獸、呆呆王、呆殼獸</v>
      </c>
      <c r="J26" s="36" t="str">
        <f>IFERROR(__xludf.DUMMYFUNCTION("IFERROR(INDEX(FILTER('棲息地'!$B$2:$B995 &amp; "" / "" &amp; '棲息地'!$C$2:$C995, ISNUMBER(SEARCH($B26, '棲息地'!$D$2:$D995))), 2), """")"),"釣魚池 / 釣竿 ×1、椅子 ×1")</f>
        <v>釣魚池 / 釣竿 ×1、椅子 ×1</v>
      </c>
      <c r="K26" s="36" t="str">
        <f>IFERROR(__xludf.DUMMYFUNCTION("IFERROR(INDEX(FILTER('棲息地'!$D$2:$D995, ISNUMBER(SEARCH($B26, '棲息地'!$D$2:$D995))), 2), """")"),"呆呆王、呆殼獸")</f>
        <v>呆呆王、呆殼獸</v>
      </c>
      <c r="L26" s="36" t="str">
        <f>IFERROR(__xludf.DUMMYFUNCTION("IFERROR(INDEX(FILTER('棲息地'!$D$2:$D995, ISNUMBER(SEARCH($B26, '棲息地'!$D$2:$D995))), 3), """")"),"")</f>
        <v/>
      </c>
      <c r="M26" s="36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22.5" customHeight="1">
      <c r="A27" s="33" t="s">
        <v>1165</v>
      </c>
      <c r="B27" s="34" t="s">
        <v>1166</v>
      </c>
      <c r="C27" s="35" t="s">
        <v>1167</v>
      </c>
      <c r="D27" s="34" t="s">
        <v>1080</v>
      </c>
      <c r="E27" s="35" t="s">
        <v>1103</v>
      </c>
      <c r="F27" s="35" t="s">
        <v>1164</v>
      </c>
      <c r="G27" s="35" t="s">
        <v>1087</v>
      </c>
      <c r="H27" s="36" t="str">
        <f>IFERROR(__xludf.DUMMYFUNCTION("IFERROR(INDEX(FILTER('棲息地'!$B$2:$B995 &amp; "" / "" &amp; '棲息地'!$C$2:$C995, ISNUMBER(SEARCH($B27, '棲息地'!$D$2:$D995))), 1), """")"),"海浪邊的草叢 / 綠草 ×4、海水 ×2")</f>
        <v>海浪邊的草叢 / 綠草 ×4、海水 ×2</v>
      </c>
      <c r="I27" s="36" t="str">
        <f>IFERROR(__xludf.DUMMYFUNCTION("IFERROR(INDEX(FILTER('棲息地'!$D$2:$D995, ISNUMBER(SEARCH($B27, '棲息地'!$D$2:$D995))), 1), """")"),"呆呆獸、呆呆王、呆殼獸")</f>
        <v>呆呆獸、呆呆王、呆殼獸</v>
      </c>
      <c r="J27" s="36" t="str">
        <f>IFERROR(__xludf.DUMMYFUNCTION("IFERROR(INDEX(FILTER('棲息地'!$B$2:$B995 &amp; "" / "" &amp; '棲息地'!$C$2:$C995, ISNUMBER(SEARCH($B27, '棲息地'!$D$2:$D995))), 2), """")"),"釣魚池 / 釣竿 ×1、椅子 ×1")</f>
        <v>釣魚池 / 釣竿 ×1、椅子 ×1</v>
      </c>
      <c r="K27" s="36" t="str">
        <f>IFERROR(__xludf.DUMMYFUNCTION("IFERROR(INDEX(FILTER('棲息地'!$D$2:$D995, ISNUMBER(SEARCH($B27, '棲息地'!$D$2:$D995))), 2), """")"),"呆呆王、呆殼獸")</f>
        <v>呆呆王、呆殼獸</v>
      </c>
      <c r="L27" s="36" t="str">
        <f>IFERROR(__xludf.DUMMYFUNCTION("IFERROR(INDEX(FILTER('棲息地'!$D$2:$D995, ISNUMBER(SEARCH($B27, '棲息地'!$D$2:$D995))), 3), """")"),"")</f>
        <v/>
      </c>
      <c r="M27" s="36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22.5" customHeight="1">
      <c r="A28" s="33" t="s">
        <v>1168</v>
      </c>
      <c r="B28" s="34" t="s">
        <v>203</v>
      </c>
      <c r="C28" s="35" t="s">
        <v>1169</v>
      </c>
      <c r="D28" s="34" t="s">
        <v>1080</v>
      </c>
      <c r="E28" s="35" t="s">
        <v>1081</v>
      </c>
      <c r="F28" s="35" t="s">
        <v>1170</v>
      </c>
      <c r="G28" s="35" t="s">
        <v>1125</v>
      </c>
      <c r="H28" s="36" t="str">
        <f>IFERROR(__xludf.DUMMYFUNCTION("IFERROR(INDEX(FILTER('棲息地'!$B$2:$B995 &amp; "" / "" &amp; '棲息地'!$C$2:$C995, ISNUMBER(SEARCH($B28, '棲息地'!$D$2:$D995))), 1), """")"),"工廠倉庫 / 路燈(任意) ×1")</f>
        <v>工廠倉庫 / 路燈(任意) ×1</v>
      </c>
      <c r="I28" s="36" t="str">
        <f>IFERROR(__xludf.DUMMYFUNCTION("IFERROR(INDEX(FILTER('棲息地'!$D$2:$D995, ISNUMBER(SEARCH($B28, '棲息地'!$D$2:$D995))), 1), """")"),"小磁怪")</f>
        <v>小磁怪</v>
      </c>
      <c r="J28" s="36" t="str">
        <f>IFERROR(__xludf.DUMMYFUNCTION("IFERROR(INDEX(FILTER('棲息地'!$B$2:$B995 &amp; "" / "" &amp; '棲息地'!$C$2:$C995, ISNUMBER(SEARCH($B28, '棲息地'!$D$2:$D995))), 2), """")"),"")</f>
        <v/>
      </c>
      <c r="K28" s="36" t="str">
        <f>IFERROR(__xludf.DUMMYFUNCTION("IFERROR(INDEX(FILTER('棲息地'!$D$2:$D995, ISNUMBER(SEARCH($B28, '棲息地'!$D$2:$D995))), 2), """")"),"")</f>
        <v/>
      </c>
      <c r="L28" s="36" t="str">
        <f>IFERROR(__xludf.DUMMYFUNCTION("IFERROR(INDEX(FILTER('棲息地'!$D$2:$D995, ISNUMBER(SEARCH($B28, '棲息地'!$D$2:$D995))), 3), """")"),"")</f>
        <v/>
      </c>
      <c r="M28" s="36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22.5" customHeight="1">
      <c r="A29" s="33" t="s">
        <v>1171</v>
      </c>
      <c r="B29" s="34" t="s">
        <v>1172</v>
      </c>
      <c r="C29" s="35" t="s">
        <v>1169</v>
      </c>
      <c r="D29" s="34" t="s">
        <v>1080</v>
      </c>
      <c r="E29" s="35" t="s">
        <v>1081</v>
      </c>
      <c r="F29" s="35" t="s">
        <v>1173</v>
      </c>
      <c r="G29" s="35" t="s">
        <v>1125</v>
      </c>
      <c r="H29" s="36" t="str">
        <f>IFERROR(__xludf.DUMMYFUNCTION("IFERROR(INDEX(FILTER('棲息地'!$B$2:$B995 &amp; "" / "" &amp; '棲息地'!$C$2:$C995, ISNUMBER(SEARCH($B29, '棲息地'!$D$2:$D995))), 1), """")"),"垃圾桶擺好擺滿 / 垃圾桶 ×4")</f>
        <v>垃圾桶擺好擺滿 / 垃圾桶 ×4</v>
      </c>
      <c r="I29" s="36" t="str">
        <f>IFERROR(__xludf.DUMMYFUNCTION("IFERROR(INDEX(FILTER('棲息地'!$D$2:$D995, ISNUMBER(SEARCH($B29, '棲息地'!$D$2:$D995))), 1), """")"),"三合一磁怪、電擊獸")</f>
        <v>三合一磁怪、電擊獸</v>
      </c>
      <c r="J29" s="36" t="str">
        <f>IFERROR(__xludf.DUMMYFUNCTION("IFERROR(INDEX(FILTER('棲息地'!$B$2:$B995 &amp; "" / "" &amp; '棲息地'!$C$2:$C995, ISNUMBER(SEARCH($B29, '棲息地'!$D$2:$D995))), 2), """")"),"迷你遊戲城 / 椅子 ×1、遊戲街機 ×1、打擊測力機 ×1")</f>
        <v>迷你遊戲城 / 椅子 ×1、遊戲街機 ×1、打擊測力機 ×1</v>
      </c>
      <c r="K29" s="36" t="str">
        <f>IFERROR(__xludf.DUMMYFUNCTION("IFERROR(INDEX(FILTER('棲息地'!$D$2:$D995, ISNUMBER(SEARCH($B29, '棲息地'!$D$2:$D995))), 2), """")"),"三合一磁怪（★）、自爆磁怪（★★）")</f>
        <v>三合一磁怪（★）、自爆磁怪（★★）</v>
      </c>
      <c r="L29" s="36" t="str">
        <f>IFERROR(__xludf.DUMMYFUNCTION("IFERROR(INDEX(FILTER('棲息地'!$D$2:$D995, ISNUMBER(SEARCH($B29, '棲息地'!$D$2:$D995))), 3), """")"),"")</f>
        <v/>
      </c>
      <c r="M29" s="36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22.5" customHeight="1">
      <c r="A30" s="33" t="s">
        <v>1174</v>
      </c>
      <c r="B30" s="34" t="s">
        <v>1175</v>
      </c>
      <c r="C30" s="35" t="s">
        <v>1176</v>
      </c>
      <c r="D30" s="34" t="s">
        <v>1080</v>
      </c>
      <c r="E30" s="35" t="s">
        <v>1081</v>
      </c>
      <c r="F30" s="35" t="s">
        <v>1177</v>
      </c>
      <c r="G30" s="35" t="s">
        <v>1125</v>
      </c>
      <c r="H30" s="36" t="str">
        <f>IFERROR(__xludf.DUMMYFUNCTION("IFERROR(INDEX(FILTER('棲息地'!$B$2:$B995 &amp; "" / "" &amp; '棲息地'!$C$2:$C995, ISNUMBER(SEARCH($B30, '棲息地'!$D$2:$D995))), 1), """")"),"迷你遊戲城 / 椅子 ×1、遊戲街機 ×1、打擊測力機 ×1")</f>
        <v>迷你遊戲城 / 椅子 ×1、遊戲街機 ×1、打擊測力機 ×1</v>
      </c>
      <c r="I30" s="36" t="str">
        <f>IFERROR(__xludf.DUMMYFUNCTION("IFERROR(INDEX(FILTER('棲息地'!$D$2:$D995, ISNUMBER(SEARCH($B30, '棲息地'!$D$2:$D995))), 1), """")"),"三合一磁怪（★）、自爆磁怪（★★）")</f>
        <v>三合一磁怪（★）、自爆磁怪（★★）</v>
      </c>
      <c r="J30" s="36" t="str">
        <f>IFERROR(__xludf.DUMMYFUNCTION("IFERROR(INDEX(FILTER('棲息地'!$B$2:$B995 &amp; "" / "" &amp; '棲息地'!$C$2:$C995, ISNUMBER(SEARCH($B30, '棲息地'!$D$2:$D995))), 2), """")"),"")</f>
        <v/>
      </c>
      <c r="K30" s="36" t="str">
        <f>IFERROR(__xludf.DUMMYFUNCTION("IFERROR(INDEX(FILTER('棲息地'!$D$2:$D995, ISNUMBER(SEARCH($B30, '棲息地'!$D$2:$D995))), 2), """")"),"")</f>
        <v/>
      </c>
      <c r="L30" s="36" t="str">
        <f>IFERROR(__xludf.DUMMYFUNCTION("IFERROR(INDEX(FILTER('棲息地'!$D$2:$D995, ISNUMBER(SEARCH($B30, '棲息地'!$D$2:$D995))), 3), """")"),"")</f>
        <v/>
      </c>
      <c r="M30" s="36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22.5" customHeight="1">
      <c r="A31" s="33" t="s">
        <v>1178</v>
      </c>
      <c r="B31" s="34" t="s">
        <v>198</v>
      </c>
      <c r="C31" s="35" t="s">
        <v>1179</v>
      </c>
      <c r="D31" s="34" t="s">
        <v>1080</v>
      </c>
      <c r="E31" s="35" t="s">
        <v>1180</v>
      </c>
      <c r="F31" s="35" t="s">
        <v>1181</v>
      </c>
      <c r="G31" s="35" t="s">
        <v>1129</v>
      </c>
      <c r="H31" s="36" t="str">
        <f>IFERROR(__xludf.DUMMYFUNCTION("IFERROR(INDEX(FILTER('棲息地'!$B$2:$B995 &amp; "" / "" &amp; '棲息地'!$C$2:$C995, ISNUMBER(SEARCH($B31, '棲息地'!$D$2:$D995))), 1), """")"),"乾爽草叢 / 枯萎的綠草 ×4、沙沙岩石 ×1")</f>
        <v>乾爽草叢 / 枯萎的綠草 ×4、沙沙岩石 ×1</v>
      </c>
      <c r="I31" s="36" t="str">
        <f>IFERROR(__xludf.DUMMYFUNCTION("IFERROR(INDEX(FILTER('棲息地'!$D$2:$D995, ISNUMBER(SEARCH($B31, '棲息地'!$D$2:$D995))), 1), """")"),"大岩蛇")</f>
        <v>大岩蛇</v>
      </c>
      <c r="J31" s="36" t="str">
        <f>IFERROR(__xludf.DUMMYFUNCTION("IFERROR(INDEX(FILTER('棲息地'!$B$2:$B995 &amp; "" / "" &amp; '棲息地'!$C$2:$C995, ISNUMBER(SEARCH($B31, '棲息地'!$D$2:$D995))), 2), """")"),"")</f>
        <v/>
      </c>
      <c r="K31" s="36" t="str">
        <f>IFERROR(__xludf.DUMMYFUNCTION("IFERROR(INDEX(FILTER('棲息地'!$D$2:$D995, ISNUMBER(SEARCH($B31, '棲息地'!$D$2:$D995))), 2), """")"),"")</f>
        <v/>
      </c>
      <c r="L31" s="36" t="str">
        <f>IFERROR(__xludf.DUMMYFUNCTION("IFERROR(INDEX(FILTER('棲息地'!$D$2:$D995, ISNUMBER(SEARCH($B31, '棲息地'!$D$2:$D995))), 3), """")"),"")</f>
        <v/>
      </c>
      <c r="M31" s="36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22.5" customHeight="1">
      <c r="A32" s="33" t="s">
        <v>1182</v>
      </c>
      <c r="B32" s="34" t="s">
        <v>592</v>
      </c>
      <c r="C32" s="35" t="s">
        <v>1179</v>
      </c>
      <c r="D32" s="34" t="s">
        <v>1080</v>
      </c>
      <c r="E32" s="35" t="s">
        <v>1180</v>
      </c>
      <c r="F32" s="35" t="s">
        <v>1183</v>
      </c>
      <c r="G32" s="35" t="s">
        <v>1087</v>
      </c>
      <c r="H32" s="36" t="str">
        <f>IFERROR(__xludf.DUMMYFUNCTION("IFERROR(INDEX(FILTER('棲息地'!$B$2:$B995 &amp; "" / "" &amp; '棲息地'!$C$2:$C995, ISNUMBER(SEARCH($B32, '棲息地'!$D$2:$D995))), 1), """")"),"鏘啷鏘啷鋼構工程 / 獨輪手推車 ×1、沙包袋 ×1、挖礦工具 ×1")</f>
        <v>鏘啷鏘啷鋼構工程 / 獨輪手推車 ×1、沙包袋 ×1、挖礦工具 ×1</v>
      </c>
      <c r="I32" s="36" t="str">
        <f>IFERROR(__xludf.DUMMYFUNCTION("IFERROR(INDEX(FILTER('棲息地'!$D$2:$D995, ISNUMBER(SEARCH($B32, '棲息地'!$D$2:$D995))), 1), """")"),"大鋼蛇")</f>
        <v>大鋼蛇</v>
      </c>
      <c r="J32" s="36" t="str">
        <f>IFERROR(__xludf.DUMMYFUNCTION("IFERROR(INDEX(FILTER('棲息地'!$B$2:$B995 &amp; "" / "" &amp; '棲息地'!$C$2:$C995, ISNUMBER(SEARCH($B32, '棲息地'!$D$2:$D995))), 2), """")"),"")</f>
        <v/>
      </c>
      <c r="K32" s="36" t="str">
        <f>IFERROR(__xludf.DUMMYFUNCTION("IFERROR(INDEX(FILTER('棲息地'!$D$2:$D995, ISNUMBER(SEARCH($B32, '棲息地'!$D$2:$D995))), 2), """")"),"")</f>
        <v/>
      </c>
      <c r="L32" s="36" t="str">
        <f>IFERROR(__xludf.DUMMYFUNCTION("IFERROR(INDEX(FILTER('棲息地'!$D$2:$D995, ISNUMBER(SEARCH($B32, '棲息地'!$D$2:$D995))), 3), """")"),"")</f>
        <v/>
      </c>
      <c r="M32" s="36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22.5" customHeight="1">
      <c r="A33" s="33" t="s">
        <v>1184</v>
      </c>
      <c r="B33" s="34" t="s">
        <v>1185</v>
      </c>
      <c r="C33" s="35" t="s">
        <v>1186</v>
      </c>
      <c r="D33" s="34" t="s">
        <v>1080</v>
      </c>
      <c r="E33" s="35" t="s">
        <v>1180</v>
      </c>
      <c r="F33" s="35" t="s">
        <v>1187</v>
      </c>
      <c r="G33" s="35" t="s">
        <v>1125</v>
      </c>
      <c r="H33" s="36" t="str">
        <f>IFERROR(__xludf.DUMMYFUNCTION("IFERROR(INDEX(FILTER('棲息地'!$B$2:$B995 &amp; "" / "" &amp; '棲息地'!$C$2:$C995, ISNUMBER(SEARCH($B33, '棲息地'!$D$2:$D995))), 1), """")"),"花朵纏繞的墓地 / 原野之花 ×4、墓碑 ×1")</f>
        <v>花朵纏繞的墓地 / 原野之花 ×4、墓碑 ×1</v>
      </c>
      <c r="I33" s="36" t="str">
        <f>IFERROR(__xludf.DUMMYFUNCTION("IFERROR(INDEX(FILTER('棲息地'!$D$2:$D995, ISNUMBER(SEARCH($B33, '棲息地'!$D$2:$D995))), 1), """")"),"卡拉卡拉、嘎啦嘎啦")</f>
        <v>卡拉卡拉、嘎啦嘎啦</v>
      </c>
      <c r="J33" s="36" t="str">
        <f>IFERROR(__xludf.DUMMYFUNCTION("IFERROR(INDEX(FILTER('棲息地'!$B$2:$B995 &amp; "" / "" &amp; '棲息地'!$C$2:$C995, ISNUMBER(SEARCH($B33, '棲息地'!$D$2:$D995))), 2), """")"),"")</f>
        <v/>
      </c>
      <c r="K33" s="36" t="str">
        <f>IFERROR(__xludf.DUMMYFUNCTION("IFERROR(INDEX(FILTER('棲息地'!$D$2:$D995, ISNUMBER(SEARCH($B33, '棲息地'!$D$2:$D995))), 2), """")"),"")</f>
        <v/>
      </c>
      <c r="L33" s="36" t="str">
        <f>IFERROR(__xludf.DUMMYFUNCTION("IFERROR(INDEX(FILTER('棲息地'!$D$2:$D995, ISNUMBER(SEARCH($B33, '棲息地'!$D$2:$D995))), 3), """")"),"")</f>
        <v/>
      </c>
      <c r="M33" s="36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22.5" customHeight="1">
      <c r="A34" s="33" t="s">
        <v>1188</v>
      </c>
      <c r="B34" s="34" t="s">
        <v>1189</v>
      </c>
      <c r="C34" s="35" t="s">
        <v>1186</v>
      </c>
      <c r="D34" s="34" t="s">
        <v>1080</v>
      </c>
      <c r="E34" s="35" t="s">
        <v>1180</v>
      </c>
      <c r="F34" s="35" t="s">
        <v>1190</v>
      </c>
      <c r="G34" s="35" t="s">
        <v>1129</v>
      </c>
      <c r="H34" s="36" t="str">
        <f>IFERROR(__xludf.DUMMYFUNCTION("IFERROR(INDEX(FILTER('棲息地'!$B$2:$B995 &amp; "" / "" &amp; '棲息地'!$C$2:$C995, ISNUMBER(SEARCH($B34, '棲息地'!$D$2:$D995))), 1), """")"),"花朵纏繞的墓地 / 原野之花 ×4、墓碑 ×1")</f>
        <v>花朵纏繞的墓地 / 原野之花 ×4、墓碑 ×1</v>
      </c>
      <c r="I34" s="36" t="str">
        <f>IFERROR(__xludf.DUMMYFUNCTION("IFERROR(INDEX(FILTER('棲息地'!$D$2:$D995, ISNUMBER(SEARCH($B34, '棲息地'!$D$2:$D995))), 1), """")"),"卡拉卡拉、嘎啦嘎啦")</f>
        <v>卡拉卡拉、嘎啦嘎啦</v>
      </c>
      <c r="J34" s="36" t="str">
        <f>IFERROR(__xludf.DUMMYFUNCTION("IFERROR(INDEX(FILTER('棲息地'!$B$2:$B995 &amp; "" / "" &amp; '棲息地'!$C$2:$C995, ISNUMBER(SEARCH($B34, '棲息地'!$D$2:$D995))), 2), """")"),"")</f>
        <v/>
      </c>
      <c r="K34" s="36" t="str">
        <f>IFERROR(__xludf.DUMMYFUNCTION("IFERROR(INDEX(FILTER('棲息地'!$D$2:$D995, ISNUMBER(SEARCH($B34, '棲息地'!$D$2:$D995))), 2), """")"),"")</f>
        <v/>
      </c>
      <c r="L34" s="36" t="str">
        <f>IFERROR(__xludf.DUMMYFUNCTION("IFERROR(INDEX(FILTER('棲息地'!$D$2:$D995, ISNUMBER(SEARCH($B34, '棲息地'!$D$2:$D995))), 3), """")"),"")</f>
        <v/>
      </c>
      <c r="M34" s="36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22.5" customHeight="1">
      <c r="A35" s="33" t="s">
        <v>1191</v>
      </c>
      <c r="B35" s="34" t="s">
        <v>103</v>
      </c>
      <c r="C35" s="35" t="s">
        <v>1192</v>
      </c>
      <c r="D35" s="34" t="s">
        <v>1080</v>
      </c>
      <c r="E35" s="35" t="s">
        <v>1081</v>
      </c>
      <c r="F35" s="35" t="s">
        <v>1193</v>
      </c>
      <c r="G35" s="35" t="s">
        <v>1095</v>
      </c>
      <c r="H35" s="36" t="str">
        <f>IFERROR(__xludf.DUMMYFUNCTION("IFERROR(INDEX(FILTER('棲息地'!$B$2:$B995 &amp; "" / "" &amp; '棲息地'!$C$2:$C995, ISNUMBER(SEARCH($B35, '棲息地'!$D$2:$D995))), 1), """")"),"修行瀑布 / 椅子(任意) ×1、水 ×2、瀑布 ×1")</f>
        <v>修行瀑布 / 椅子(任意) ×1、水 ×2、瀑布 ×1</v>
      </c>
      <c r="I35" s="36" t="str">
        <f>IFERROR(__xludf.DUMMYFUNCTION("IFERROR(INDEX(FILTER('棲息地'!$D$2:$D995, ISNUMBER(SEARCH($B35, '棲息地'!$D$2:$D995))), 1), """")"),"無畏小子")</f>
        <v>無畏小子</v>
      </c>
      <c r="J35" s="36" t="str">
        <f>IFERROR(__xludf.DUMMYFUNCTION("IFERROR(INDEX(FILTER('棲息地'!$B$2:$B995 &amp; "" / "" &amp; '棲息地'!$C$2:$C995, ISNUMBER(SEARCH($B35, '棲息地'!$D$2:$D995))), 2), """")"),"")</f>
        <v/>
      </c>
      <c r="K35" s="36" t="str">
        <f>IFERROR(__xludf.DUMMYFUNCTION("IFERROR(INDEX(FILTER('棲息地'!$D$2:$D995, ISNUMBER(SEARCH($B35, '棲息地'!$D$2:$D995))), 2), """")"),"")</f>
        <v/>
      </c>
      <c r="L35" s="36" t="str">
        <f>IFERROR(__xludf.DUMMYFUNCTION("IFERROR(INDEX(FILTER('棲息地'!$D$2:$D995, ISNUMBER(SEARCH($B35, '棲息地'!$D$2:$D995))), 3), """")"),"")</f>
        <v/>
      </c>
      <c r="M35" s="36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22.5" customHeight="1">
      <c r="A36" s="33" t="s">
        <v>1194</v>
      </c>
      <c r="B36" s="34" t="s">
        <v>138</v>
      </c>
      <c r="C36" s="35" t="s">
        <v>1192</v>
      </c>
      <c r="D36" s="34" t="s">
        <v>1080</v>
      </c>
      <c r="E36" s="35" t="s">
        <v>1081</v>
      </c>
      <c r="F36" s="35" t="s">
        <v>1193</v>
      </c>
      <c r="G36" s="35" t="s">
        <v>1095</v>
      </c>
      <c r="H36" s="36" t="str">
        <f>IFERROR(__xludf.DUMMYFUNCTION("IFERROR(INDEX(FILTER('棲息地'!$B$2:$B995 &amp; "" / "" &amp; '棲息地'!$C$2:$C995, ISNUMBER(SEARCH($B36, '棲息地'!$D$2:$D995))), 1), """")"),"緊急救護站 / 椅子(任意) ×1、桌子(任意) ×1、急救箱 ×1")</f>
        <v>緊急救護站 / 椅子(任意) ×1、桌子(任意) ×1、急救箱 ×1</v>
      </c>
      <c r="I36" s="36" t="str">
        <f>IFERROR(__xludf.DUMMYFUNCTION("IFERROR(INDEX(FILTER('棲息地'!$D$2:$D995, ISNUMBER(SEARCH($B36, '棲息地'!$D$2:$D995))), 1), """")"),"飛腿郎")</f>
        <v>飛腿郎</v>
      </c>
      <c r="J36" s="36" t="str">
        <f>IFERROR(__xludf.DUMMYFUNCTION("IFERROR(INDEX(FILTER('棲息地'!$B$2:$B995 &amp; "" / "" &amp; '棲息地'!$C$2:$C995, ISNUMBER(SEARCH($B36, '棲息地'!$D$2:$D995))), 2), """")"),"")</f>
        <v/>
      </c>
      <c r="K36" s="36" t="str">
        <f>IFERROR(__xludf.DUMMYFUNCTION("IFERROR(INDEX(FILTER('棲息地'!$D$2:$D995, ISNUMBER(SEARCH($B36, '棲息地'!$D$2:$D995))), 2), """")"),"")</f>
        <v/>
      </c>
      <c r="L36" s="36" t="str">
        <f>IFERROR(__xludf.DUMMYFUNCTION("IFERROR(INDEX(FILTER('棲息地'!$D$2:$D995, ISNUMBER(SEARCH($B36, '棲息地'!$D$2:$D995))), 3), """")"),"")</f>
        <v/>
      </c>
      <c r="M36" s="36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22.5" customHeight="1">
      <c r="A37" s="33" t="s">
        <v>1195</v>
      </c>
      <c r="B37" s="34" t="s">
        <v>133</v>
      </c>
      <c r="C37" s="35" t="s">
        <v>1192</v>
      </c>
      <c r="D37" s="34" t="s">
        <v>1080</v>
      </c>
      <c r="E37" s="35" t="s">
        <v>1081</v>
      </c>
      <c r="F37" s="35" t="s">
        <v>1193</v>
      </c>
      <c r="G37" s="35" t="s">
        <v>1083</v>
      </c>
      <c r="H37" s="36" t="str">
        <f>IFERROR(__xludf.DUMMYFUNCTION("IFERROR(INDEX(FILTER('棲息地'!$B$2:$B995 &amp; "" / "" &amp; '棲息地'!$C$2:$C995, ISNUMBER(SEARCH($B37, '棲息地'!$D$2:$D995))), 1), """")"),"健身區用餐區 / 沙包 ×1、椅子(任意) ×1")</f>
        <v>健身區用餐區 / 沙包 ×1、椅子(任意) ×1</v>
      </c>
      <c r="I37" s="36" t="str">
        <f>IFERROR(__xludf.DUMMYFUNCTION("IFERROR(INDEX(FILTER('棲息地'!$D$2:$D995, ISNUMBER(SEARCH($B37, '棲息地'!$D$2:$D995))), 1), """")"),"快拳郎")</f>
        <v>快拳郎</v>
      </c>
      <c r="J37" s="36" t="str">
        <f>IFERROR(__xludf.DUMMYFUNCTION("IFERROR(INDEX(FILTER('棲息地'!$B$2:$B995 &amp; "" / "" &amp; '棲息地'!$C$2:$C995, ISNUMBER(SEARCH($B37, '棲息地'!$D$2:$D995))), 2), """")"),"")</f>
        <v/>
      </c>
      <c r="K37" s="36" t="str">
        <f>IFERROR(__xludf.DUMMYFUNCTION("IFERROR(INDEX(FILTER('棲息地'!$D$2:$D995, ISNUMBER(SEARCH($B37, '棲息地'!$D$2:$D995))), 2), """")"),"")</f>
        <v/>
      </c>
      <c r="L37" s="36" t="str">
        <f>IFERROR(__xludf.DUMMYFUNCTION("IFERROR(INDEX(FILTER('棲息地'!$D$2:$D995, ISNUMBER(SEARCH($B37, '棲息地'!$D$2:$D995))), 3), """")"),"")</f>
        <v/>
      </c>
      <c r="M37" s="36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22.5" customHeight="1">
      <c r="A38" s="33" t="s">
        <v>1196</v>
      </c>
      <c r="B38" s="34" t="s">
        <v>143</v>
      </c>
      <c r="C38" s="35" t="s">
        <v>1192</v>
      </c>
      <c r="D38" s="34" t="s">
        <v>1080</v>
      </c>
      <c r="E38" s="35" t="s">
        <v>1081</v>
      </c>
      <c r="F38" s="35" t="s">
        <v>1193</v>
      </c>
      <c r="G38" s="35" t="s">
        <v>1083</v>
      </c>
      <c r="H38" s="36" t="str">
        <f>IFERROR(__xludf.DUMMYFUNCTION("IFERROR(INDEX(FILTER('棲息地'!$B$2:$B995 &amp; "" / "" &amp; '棲息地'!$C$2:$C995, ISNUMBER(SEARCH($B38, '棲息地'!$D$2:$D995))), 1), """")"),"健身區救護站 / 桌子(任意) ×1、沙包 ×1、急救箱 ×1")</f>
        <v>健身區救護站 / 桌子(任意) ×1、沙包 ×1、急救箱 ×1</v>
      </c>
      <c r="I38" s="36" t="str">
        <f>IFERROR(__xludf.DUMMYFUNCTION("IFERROR(INDEX(FILTER('棲息地'!$D$2:$D995, ISNUMBER(SEARCH($B38, '棲息地'!$D$2:$D995))), 1), """")"),"戰舞郎")</f>
        <v>戰舞郎</v>
      </c>
      <c r="J38" s="36" t="str">
        <f>IFERROR(__xludf.DUMMYFUNCTION("IFERROR(INDEX(FILTER('棲息地'!$B$2:$B995 &amp; "" / "" &amp; '棲息地'!$C$2:$C995, ISNUMBER(SEARCH($B38, '棲息地'!$D$2:$D995))), 2), """")"),"")</f>
        <v/>
      </c>
      <c r="K38" s="36" t="str">
        <f>IFERROR(__xludf.DUMMYFUNCTION("IFERROR(INDEX(FILTER('棲息地'!$D$2:$D995, ISNUMBER(SEARCH($B38, '棲息地'!$D$2:$D995))), 2), """")"),"")</f>
        <v/>
      </c>
      <c r="L38" s="36" t="str">
        <f>IFERROR(__xludf.DUMMYFUNCTION("IFERROR(INDEX(FILTER('棲息地'!$D$2:$D995, ISNUMBER(SEARCH($B38, '棲息地'!$D$2:$D995))), 3), """")"),"")</f>
        <v/>
      </c>
      <c r="M38" s="36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22.5" customHeight="1">
      <c r="A39" s="33" t="s">
        <v>1197</v>
      </c>
      <c r="B39" s="34" t="s">
        <v>1198</v>
      </c>
      <c r="C39" s="35" t="s">
        <v>1199</v>
      </c>
      <c r="D39" s="34" t="s">
        <v>1080</v>
      </c>
      <c r="E39" s="35" t="s">
        <v>1200</v>
      </c>
      <c r="F39" s="35" t="s">
        <v>1201</v>
      </c>
      <c r="G39" s="35" t="s">
        <v>1125</v>
      </c>
      <c r="H39" s="36" t="str">
        <f>IFERROR(__xludf.DUMMYFUNCTION("IFERROR(INDEX(FILTER('棲息地'!$B$2:$B995 &amp; "" / "" &amp; '棲息地'!$C$2:$C995, ISNUMBER(SEARCH($B39, '棲息地'!$D$2:$D995))), 1), """")"),"垃圾集中站 / 垃圾桶 ×1、告示牌 ×1、垃圾袋 ×1")</f>
        <v>垃圾集中站 / 垃圾桶 ×1、告示牌 ×1、垃圾袋 ×1</v>
      </c>
      <c r="I39" s="36" t="str">
        <f>IFERROR(__xludf.DUMMYFUNCTION("IFERROR(INDEX(FILTER('棲息地'!$D$2:$D995, ISNUMBER(SEARCH($B39, '棲息地'!$D$2:$D995))), 1), """")"),"破破袋、瓦斯彈（空空鎮)、雙彈瓦斯（空空鎮)、灰塵山")</f>
        <v>破破袋、瓦斯彈（空空鎮)、雙彈瓦斯（空空鎮)、灰塵山</v>
      </c>
      <c r="J39" s="36" t="str">
        <f>IFERROR(__xludf.DUMMYFUNCTION("IFERROR(INDEX(FILTER('棲息地'!$B$2:$B995 &amp; "" / "" &amp; '棲息地'!$C$2:$C995, ISNUMBER(SEARCH($B39, '棲息地'!$D$2:$D995))), 2), """")"),"")</f>
        <v/>
      </c>
      <c r="K39" s="36" t="str">
        <f>IFERROR(__xludf.DUMMYFUNCTION("IFERROR(INDEX(FILTER('棲息地'!$D$2:$D995, ISNUMBER(SEARCH($B39, '棲息地'!$D$2:$D995))), 2), """")"),"")</f>
        <v/>
      </c>
      <c r="L39" s="36" t="str">
        <f>IFERROR(__xludf.DUMMYFUNCTION("IFERROR(INDEX(FILTER('棲息地'!$D$2:$D995, ISNUMBER(SEARCH($B39, '棲息地'!$D$2:$D995))), 3), """")"),"")</f>
        <v/>
      </c>
      <c r="M39" s="36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22.5" customHeight="1">
      <c r="A40" s="33" t="s">
        <v>1202</v>
      </c>
      <c r="B40" s="34" t="s">
        <v>1203</v>
      </c>
      <c r="C40" s="35" t="s">
        <v>1199</v>
      </c>
      <c r="D40" s="34" t="s">
        <v>1080</v>
      </c>
      <c r="E40" s="35" t="s">
        <v>1200</v>
      </c>
      <c r="F40" s="35" t="s">
        <v>1201</v>
      </c>
      <c r="G40" s="35" t="s">
        <v>1125</v>
      </c>
      <c r="H40" s="36" t="str">
        <f>IFERROR(__xludf.DUMMYFUNCTION("IFERROR(INDEX(FILTER('棲息地'!$B$2:$B995 &amp; "" / "" &amp; '棲息地'!$C$2:$C995, ISNUMBER(SEARCH($B40, '棲息地'!$D$2:$D995))), 1), """")"),"懷舊古董 / 古董衣櫃/床鋪/梳妝台/椅子 各1")</f>
        <v>懷舊古董 / 古董衣櫃/床鋪/梳妝台/椅子 各1</v>
      </c>
      <c r="I40" s="36" t="str">
        <f>IFERROR(__xludf.DUMMYFUNCTION("IFERROR(INDEX(FILTER('棲息地'!$D$2:$D995, ISNUMBER(SEARCH($B40, '棲息地'!$D$2:$D995))), 1), """")"),"雙彈瓦斯（★）、卡比獸（★）")</f>
        <v>雙彈瓦斯（★）、卡比獸（★）</v>
      </c>
      <c r="J40" s="36" t="str">
        <f>IFERROR(__xludf.DUMMYFUNCTION("IFERROR(INDEX(FILTER('棲息地'!$B$2:$B995 &amp; "" / "" &amp; '棲息地'!$C$2:$C995, ISNUMBER(SEARCH($B40, '棲息地'!$D$2:$D995))), 2), """")"),"垃圾集中站 / 垃圾桶 ×1、告示牌 ×1、垃圾袋 ×1")</f>
        <v>垃圾集中站 / 垃圾桶 ×1、告示牌 ×1、垃圾袋 ×1</v>
      </c>
      <c r="K40" s="36" t="str">
        <f>IFERROR(__xludf.DUMMYFUNCTION("IFERROR(INDEX(FILTER('棲息地'!$D$2:$D995, ISNUMBER(SEARCH($B40, '棲息地'!$D$2:$D995))), 2), """")"),"破破袋、瓦斯彈（空空鎮)、雙彈瓦斯（空空鎮)、灰塵山")</f>
        <v>破破袋、瓦斯彈（空空鎮)、雙彈瓦斯（空空鎮)、灰塵山</v>
      </c>
      <c r="L40" s="36" t="str">
        <f>IFERROR(__xludf.DUMMYFUNCTION("IFERROR(INDEX(FILTER('棲息地'!$D$2:$D995, ISNUMBER(SEARCH($B40, '棲息地'!$D$2:$D995))), 3), """")"),"")</f>
        <v/>
      </c>
      <c r="M40" s="36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22.5" customHeight="1">
      <c r="A41" s="33" t="s">
        <v>1204</v>
      </c>
      <c r="B41" s="34" t="s">
        <v>1205</v>
      </c>
      <c r="C41" s="35" t="s">
        <v>1089</v>
      </c>
      <c r="D41" s="35" t="s">
        <v>1151</v>
      </c>
      <c r="E41" s="35" t="s">
        <v>1081</v>
      </c>
      <c r="F41" s="35" t="s">
        <v>1206</v>
      </c>
      <c r="G41" s="35" t="s">
        <v>1087</v>
      </c>
      <c r="H41" s="36" t="str">
        <f>IFERROR(__xludf.DUMMYFUNCTION("IFERROR(INDEX(FILTER('棲息地'!$B$2:$B995 &amp; "" / "" &amp; '棲息地'!$C$2:$C995, ISNUMBER(SEARCH($B41, '棲息地'!$D$2:$D995))), 1), """")"),"滿滿是寶可夢球 / 寶可夢球桌燈/床鋪/桌子/沙發 各1")</f>
        <v>滿滿是寶可夢球 / 寶可夢球桌燈/床鋪/桌子/沙發 各1</v>
      </c>
      <c r="I41" s="36" t="str">
        <f>IFERROR(__xludf.DUMMYFUNCTION("IFERROR(INDEX(FILTER('棲息地'!$D$2:$D995, ISNUMBER(SEARCH($B41, '棲息地'!$D$2:$D995))), 1), """")"),"蔓藤怪（★）")</f>
        <v>蔓藤怪（★）</v>
      </c>
      <c r="J41" s="36" t="str">
        <f>IFERROR(__xludf.DUMMYFUNCTION("IFERROR(INDEX(FILTER('棲息地'!$B$2:$B995 &amp; "" / "" &amp; '棲息地'!$C$2:$C995, ISNUMBER(SEARCH($B41, '棲息地'!$D$2:$D995))), 2), """")"),"")</f>
        <v/>
      </c>
      <c r="K41" s="36" t="str">
        <f>IFERROR(__xludf.DUMMYFUNCTION("IFERROR(INDEX(FILTER('棲息地'!$D$2:$D995, ISNUMBER(SEARCH($B41, '棲息地'!$D$2:$D995))), 2), """")"),"")</f>
        <v/>
      </c>
      <c r="L41" s="36" t="str">
        <f>IFERROR(__xludf.DUMMYFUNCTION("IFERROR(INDEX(FILTER('棲息地'!$D$2:$D995, ISNUMBER(SEARCH($B41, '棲息地'!$D$2:$D995))), 3), """")"),"")</f>
        <v/>
      </c>
      <c r="M41" s="36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22.5" customHeight="1">
      <c r="A42" s="33" t="s">
        <v>1207</v>
      </c>
      <c r="B42" s="34" t="s">
        <v>1208</v>
      </c>
      <c r="C42" s="35" t="s">
        <v>1089</v>
      </c>
      <c r="D42" s="35" t="s">
        <v>1151</v>
      </c>
      <c r="E42" s="35" t="s">
        <v>1103</v>
      </c>
      <c r="F42" s="35" t="s">
        <v>1209</v>
      </c>
      <c r="G42" s="35" t="s">
        <v>1125</v>
      </c>
      <c r="H42" s="36" t="str">
        <f>IFERROR(__xludf.DUMMYFUNCTION("IFERROR(INDEX(FILTER('棲息地'!$B$2:$B995 &amp; "" / "" &amp; '棲息地'!$C$2:$C995, ISNUMBER(SEARCH($B42, '棲息地'!$D$2:$D995))), 1), """")"),"綠色的長椅 / 樹籬(任意) ×2、椅子(長條) ×1")</f>
        <v>綠色的長椅 / 樹籬(任意) ×2、椅子(長條) ×1</v>
      </c>
      <c r="I42" s="36" t="str">
        <f>IFERROR(__xludf.DUMMYFUNCTION("IFERROR(INDEX(FILTER('棲息地'!$D$2:$D995, ISNUMBER(SEARCH($B42, '棲息地'!$D$2:$D995))), 1), """")"),"妙蛙種子、妙蛙草、巨蔓藤(需連線去對方的島)")</f>
        <v>妙蛙種子、妙蛙草、巨蔓藤(需連線去對方的島)</v>
      </c>
      <c r="J42" s="36" t="str">
        <f>IFERROR(__xludf.DUMMYFUNCTION("IFERROR(INDEX(FILTER('棲息地'!$B$2:$B995 &amp; "" / "" &amp; '棲息地'!$C$2:$C995, ISNUMBER(SEARCH($B42, '棲息地'!$D$2:$D995))), 2), """")"),"博士的寶物 / 遺失物(大型) ×1、床鋪(全部) ×1、博士的寶物 ×1")</f>
        <v>博士的寶物 / 遺失物(大型) ×1、床鋪(全部) ×1、博士的寶物 ×1</v>
      </c>
      <c r="K42" s="36" t="str">
        <f>IFERROR(__xludf.DUMMYFUNCTION("IFERROR(INDEX(FILTER('棲息地'!$D$2:$D995, ISNUMBER(SEARCH($B42, '棲息地'!$D$2:$D995))), 2), """")"),"巨蔓藤博士（★）")</f>
        <v>巨蔓藤博士（★）</v>
      </c>
      <c r="L42" s="36" t="str">
        <f>IFERROR(__xludf.DUMMYFUNCTION("IFERROR(INDEX(FILTER('棲息地'!$D$2:$D995, ISNUMBER(SEARCH($B42, '棲息地'!$D$2:$D995))), 3), """")"),"")</f>
        <v/>
      </c>
      <c r="M42" s="36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22.5" customHeight="1">
      <c r="A43" s="33" t="s">
        <v>1207</v>
      </c>
      <c r="B43" s="35" t="s">
        <v>1210</v>
      </c>
      <c r="C43" s="35" t="s">
        <v>1211</v>
      </c>
      <c r="D43" s="34" t="s">
        <v>1080</v>
      </c>
      <c r="E43" s="35" t="s">
        <v>1103</v>
      </c>
      <c r="F43" s="35" t="s">
        <v>1212</v>
      </c>
      <c r="G43" s="35" t="s">
        <v>1129</v>
      </c>
      <c r="H43" s="36" t="str">
        <f>IFERROR(__xludf.DUMMYFUNCTION("IFERROR(INDEX(FILTER('棲息地'!$B$2:$B995 &amp; "" / "" &amp; '棲息地'!$C$2:$C995, ISNUMBER(SEARCH($B43, '棲息地'!$D$2:$D995))), 1), """")"),"博士的寶物 / 遺失物(大型) ×1、床鋪(全部) ×1、博士的寶物 ×1")</f>
        <v>博士的寶物 / 遺失物(大型) ×1、床鋪(全部) ×1、博士的寶物 ×1</v>
      </c>
      <c r="I43" s="36" t="str">
        <f>IFERROR(__xludf.DUMMYFUNCTION("IFERROR(INDEX(FILTER('棲息地'!$D$2:$D995, ISNUMBER(SEARCH($B43, '棲息地'!$D$2:$D995))), 1), """")"),"巨蔓藤博士（★）")</f>
        <v>巨蔓藤博士（★）</v>
      </c>
      <c r="J43" s="36" t="str">
        <f>IFERROR(__xludf.DUMMYFUNCTION("IFERROR(INDEX(FILTER('棲息地'!$B$2:$B995 &amp; "" / "" &amp; '棲息地'!$C$2:$C995, ISNUMBER(SEARCH($B43, '棲息地'!$D$2:$D995))), 2), """")"),"")</f>
        <v/>
      </c>
      <c r="K43" s="36" t="str">
        <f>IFERROR(__xludf.DUMMYFUNCTION("IFERROR(INDEX(FILTER('棲息地'!$D$2:$D995, ISNUMBER(SEARCH($B43, '棲息地'!$D$2:$D995))), 2), """")"),"")</f>
        <v/>
      </c>
      <c r="L43" s="36" t="str">
        <f>IFERROR(__xludf.DUMMYFUNCTION("IFERROR(INDEX(FILTER('棲息地'!$D$2:$D995, ISNUMBER(SEARCH($B43, '棲息地'!$D$2:$D995))), 3), """")"),"")</f>
        <v/>
      </c>
      <c r="M43" s="36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22.5" customHeight="1">
      <c r="A44" s="33" t="s">
        <v>1213</v>
      </c>
      <c r="B44" s="34" t="s">
        <v>1214</v>
      </c>
      <c r="C44" s="35" t="s">
        <v>1215</v>
      </c>
      <c r="D44" s="34" t="s">
        <v>1080</v>
      </c>
      <c r="E44" s="35" t="s">
        <v>1081</v>
      </c>
      <c r="F44" s="35" t="s">
        <v>1216</v>
      </c>
      <c r="G44" s="35" t="s">
        <v>1095</v>
      </c>
      <c r="H44" s="36" t="str">
        <f>IFERROR(__xludf.DUMMYFUNCTION("IFERROR(INDEX(FILTER('棲息地'!$B$2:$B995 &amp; "" / "" &amp; '棲息地'!$C$2:$C995, ISNUMBER(SEARCH($B44, '棲息地'!$D$2:$D995))), 1), """")"),"樹蔭的草叢 / 大樹 ×1、綠草 ×4")</f>
        <v>樹蔭的草叢 / 大樹 ×1、綠草 ×4</v>
      </c>
      <c r="I44" s="36" t="str">
        <f>IFERROR(__xludf.DUMMYFUNCTION("IFERROR(INDEX(FILTER('棲息地'!$D$2:$D995, ISNUMBER(SEARCH($B44, '棲息地'!$D$2:$D995))), 1), """")"),"飛天螳螂、喇叭芽、巨鉗螳螂（空空鎮)、赫拉克羅斯、凱羅斯、貪心栗鼠（空空鎮)")</f>
        <v>飛天螳螂、喇叭芽、巨鉗螳螂（空空鎮)、赫拉克羅斯、凱羅斯、貪心栗鼠（空空鎮)</v>
      </c>
      <c r="J44" s="36" t="str">
        <f>IFERROR(__xludf.DUMMYFUNCTION("IFERROR(INDEX(FILTER('棲息地'!$B$2:$B995 &amp; "" / "" &amp; '棲息地'!$C$2:$C995, ISNUMBER(SEARCH($B44, '棲息地'!$D$2:$D995))), 2), """")"),"")</f>
        <v/>
      </c>
      <c r="K44" s="36" t="str">
        <f>IFERROR(__xludf.DUMMYFUNCTION("IFERROR(INDEX(FILTER('棲息地'!$D$2:$D995, ISNUMBER(SEARCH($B44, '棲息地'!$D$2:$D995))), 2), """")"),"")</f>
        <v/>
      </c>
      <c r="L44" s="36" t="str">
        <f>IFERROR(__xludf.DUMMYFUNCTION("IFERROR(INDEX(FILTER('棲息地'!$D$2:$D995, ISNUMBER(SEARCH($B44, '棲息地'!$D$2:$D995))), 3), """")"),"")</f>
        <v/>
      </c>
      <c r="M44" s="36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22.5" customHeight="1">
      <c r="A45" s="33" t="s">
        <v>1217</v>
      </c>
      <c r="B45" s="34" t="s">
        <v>1218</v>
      </c>
      <c r="C45" s="35" t="s">
        <v>1215</v>
      </c>
      <c r="D45" s="34" t="s">
        <v>1080</v>
      </c>
      <c r="E45" s="35" t="s">
        <v>1081</v>
      </c>
      <c r="F45" s="35" t="s">
        <v>1219</v>
      </c>
      <c r="G45" s="35" t="s">
        <v>1125</v>
      </c>
      <c r="H45" s="36" t="str">
        <f>IFERROR(__xludf.DUMMYFUNCTION("IFERROR(INDEX(FILTER('棲息地'!$B$2:$B995 &amp; "" / "" &amp; '棲息地'!$C$2:$C995, ISNUMBER(SEARCH($B45, '棲息地'!$D$2:$D995))), 1), """")"),"樹蔭的草叢 / 大樹 ×1、綠草 ×4")</f>
        <v>樹蔭的草叢 / 大樹 ×1、綠草 ×4</v>
      </c>
      <c r="I45" s="36" t="str">
        <f>IFERROR(__xludf.DUMMYFUNCTION("IFERROR(INDEX(FILTER('棲息地'!$D$2:$D995, ISNUMBER(SEARCH($B45, '棲息地'!$D$2:$D995))), 1), """")"),"飛天螳螂、喇叭芽、巨鉗螳螂（空空鎮)、赫拉克羅斯、凱羅斯、貪心栗鼠（空空鎮)")</f>
        <v>飛天螳螂、喇叭芽、巨鉗螳螂（空空鎮)、赫拉克羅斯、凱羅斯、貪心栗鼠（空空鎮)</v>
      </c>
      <c r="J45" s="36" t="str">
        <f>IFERROR(__xludf.DUMMYFUNCTION("IFERROR(INDEX(FILTER('棲息地'!$B$2:$B995 &amp; "" / "" &amp; '棲息地'!$C$2:$C995, ISNUMBER(SEARCH($B45, '棲息地'!$D$2:$D995))), 2), """")"),"")</f>
        <v/>
      </c>
      <c r="K45" s="36" t="str">
        <f>IFERROR(__xludf.DUMMYFUNCTION("IFERROR(INDEX(FILTER('棲息地'!$D$2:$D995, ISNUMBER(SEARCH($B45, '棲息地'!$D$2:$D995))), 2), """")"),"")</f>
        <v/>
      </c>
      <c r="L45" s="36" t="str">
        <f>IFERROR(__xludf.DUMMYFUNCTION("IFERROR(INDEX(FILTER('棲息地'!$D$2:$D995, ISNUMBER(SEARCH($B45, '棲息地'!$D$2:$D995))), 3), """")"),"")</f>
        <v/>
      </c>
      <c r="M45" s="36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22.5" customHeight="1">
      <c r="A46" s="33" t="s">
        <v>1220</v>
      </c>
      <c r="B46" s="34" t="s">
        <v>1221</v>
      </c>
      <c r="C46" s="35" t="s">
        <v>1222</v>
      </c>
      <c r="D46" s="34" t="s">
        <v>1080</v>
      </c>
      <c r="E46" s="35" t="s">
        <v>1081</v>
      </c>
      <c r="F46" s="35" t="s">
        <v>1223</v>
      </c>
      <c r="G46" s="35" t="s">
        <v>1095</v>
      </c>
      <c r="H46" s="36" t="str">
        <f>IFERROR(__xludf.DUMMYFUNCTION("IFERROR(INDEX(FILTER('棲息地'!$B$2:$B995 &amp; "" / "" &amp; '棲息地'!$C$2:$C995, ISNUMBER(SEARCH($B46, '棲息地'!$D$2:$D995))), 1), """")"),"樹蔭的草叢 / 大樹 ×1、綠草 ×4")</f>
        <v>樹蔭的草叢 / 大樹 ×1、綠草 ×4</v>
      </c>
      <c r="I46" s="36" t="str">
        <f>IFERROR(__xludf.DUMMYFUNCTION("IFERROR(INDEX(FILTER('棲息地'!$D$2:$D995, ISNUMBER(SEARCH($B46, '棲息地'!$D$2:$D995))), 1), """")"),"飛天螳螂、喇叭芽、巨鉗螳螂（空空鎮)、赫拉克羅斯、凱羅斯、貪心栗鼠（空空鎮)")</f>
        <v>飛天螳螂、喇叭芽、巨鉗螳螂（空空鎮)、赫拉克羅斯、凱羅斯、貪心栗鼠（空空鎮)</v>
      </c>
      <c r="J46" s="36" t="str">
        <f>IFERROR(__xludf.DUMMYFUNCTION("IFERROR(INDEX(FILTER('棲息地'!$B$2:$B995 &amp; "" / "" &amp; '棲息地'!$C$2:$C995, ISNUMBER(SEARCH($B46, '棲息地'!$D$2:$D995))), 2), """")"),"")</f>
        <v/>
      </c>
      <c r="K46" s="36" t="str">
        <f>IFERROR(__xludf.DUMMYFUNCTION("IFERROR(INDEX(FILTER('棲息地'!$D$2:$D995, ISNUMBER(SEARCH($B46, '棲息地'!$D$2:$D995))), 2), """")"),"")</f>
        <v/>
      </c>
      <c r="L46" s="36" t="str">
        <f>IFERROR(__xludf.DUMMYFUNCTION("IFERROR(INDEX(FILTER('棲息地'!$D$2:$D995, ISNUMBER(SEARCH($B46, '棲息地'!$D$2:$D995))), 3), """")"),"")</f>
        <v/>
      </c>
      <c r="M46" s="36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22.5" customHeight="1">
      <c r="A47" s="33" t="s">
        <v>1224</v>
      </c>
      <c r="B47" s="34" t="s">
        <v>1225</v>
      </c>
      <c r="C47" s="35" t="s">
        <v>1226</v>
      </c>
      <c r="D47" s="34" t="s">
        <v>1080</v>
      </c>
      <c r="E47" s="35" t="s">
        <v>1103</v>
      </c>
      <c r="F47" s="35" t="s">
        <v>1227</v>
      </c>
      <c r="G47" s="35" t="s">
        <v>1083</v>
      </c>
      <c r="H47" s="36" t="str">
        <f>IFERROR(__xludf.DUMMYFUNCTION("IFERROR(INDEX(FILTER('棲息地'!$B$2:$B995 &amp; "" / "" &amp; '棲息地'!$C$2:$C995, ISNUMBER(SEARCH($B47, '棲息地'!$D$2:$D995))), 1), """")"),"海釣 / 釣竿 ×1、椅子 ×1、海水 ×1")</f>
        <v>海釣 / 釣竿 ×1、椅子 ×1、海水 ×1</v>
      </c>
      <c r="I47" s="36" t="str">
        <f>IFERROR(__xludf.DUMMYFUNCTION("IFERROR(INDEX(FILTER('棲息地'!$D$2:$D995, ISNUMBER(SEARCH($B47, '棲息地'!$D$2:$D995))), 1), """")"),"鯉魚王、海兔獸")</f>
        <v>鯉魚王、海兔獸</v>
      </c>
      <c r="J47" s="36" t="str">
        <f>IFERROR(__xludf.DUMMYFUNCTION("IFERROR(INDEX(FILTER('棲息地'!$B$2:$B995 &amp; "" / "" &amp; '棲息地'!$C$2:$C995, ISNUMBER(SEARCH($B47, '棲息地'!$D$2:$D995))), 2), """")"),"")</f>
        <v/>
      </c>
      <c r="K47" s="36" t="str">
        <f>IFERROR(__xludf.DUMMYFUNCTION("IFERROR(INDEX(FILTER('棲息地'!$D$2:$D995, ISNUMBER(SEARCH($B47, '棲息地'!$D$2:$D995))), 2), """")"),"")</f>
        <v/>
      </c>
      <c r="L47" s="36" t="str">
        <f>IFERROR(__xludf.DUMMYFUNCTION("IFERROR(INDEX(FILTER('棲息地'!$D$2:$D995, ISNUMBER(SEARCH($B47, '棲息地'!$D$2:$D995))), 3), """")"),"")</f>
        <v/>
      </c>
      <c r="M47" s="36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22.5" customHeight="1">
      <c r="A48" s="33" t="s">
        <v>1228</v>
      </c>
      <c r="B48" s="34" t="s">
        <v>1229</v>
      </c>
      <c r="C48" s="35" t="s">
        <v>1103</v>
      </c>
      <c r="D48" s="34" t="s">
        <v>1080</v>
      </c>
      <c r="E48" s="35" t="s">
        <v>1103</v>
      </c>
      <c r="F48" s="35" t="s">
        <v>1230</v>
      </c>
      <c r="G48" s="35" t="s">
        <v>1095</v>
      </c>
      <c r="H48" s="36" t="str">
        <f>IFERROR(__xludf.DUMMYFUNCTION("IFERROR(INDEX(FILTER('棲息地'!$B$2:$B995 &amp; "" / "" &amp; '棲息地'!$C$2:$C995, ISNUMBER(SEARCH($B48, '棲息地'!$D$2:$D995))), 1), """")"),"光照的瀑布 / 水 ×3、踏石 ×3、火炬 ×2、瀑布 ×1")</f>
        <v>光照的瀑布 / 水 ×3、踏石 ×3、火炬 ×2、瀑布 ×1</v>
      </c>
      <c r="I48" s="36" t="str">
        <f>IFERROR(__xludf.DUMMYFUNCTION("IFERROR(INDEX(FILTER('棲息地'!$D$2:$D995, ISNUMBER(SEARCH($B48, '棲息地'!$D$2:$D995))), 1), """")"),"暴鯉龍（★）")</f>
        <v>暴鯉龍（★）</v>
      </c>
      <c r="J48" s="36" t="str">
        <f>IFERROR(__xludf.DUMMYFUNCTION("IFERROR(INDEX(FILTER('棲息地'!$B$2:$B995 &amp; "" / "" &amp; '棲息地'!$C$2:$C995, ISNUMBER(SEARCH($B48, '棲息地'!$D$2:$D995))), 2), """")"),"")</f>
        <v/>
      </c>
      <c r="K48" s="36" t="str">
        <f>IFERROR(__xludf.DUMMYFUNCTION("IFERROR(INDEX(FILTER('棲息地'!$D$2:$D995, ISNUMBER(SEARCH($B48, '棲息地'!$D$2:$D995))), 2), """")"),"")</f>
        <v/>
      </c>
      <c r="L48" s="36" t="str">
        <f>IFERROR(__xludf.DUMMYFUNCTION("IFERROR(INDEX(FILTER('棲息地'!$D$2:$D995, ISNUMBER(SEARCH($B48, '棲息地'!$D$2:$D995))), 3), """")"),"")</f>
        <v/>
      </c>
      <c r="M48" s="36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22.5" customHeight="1">
      <c r="A49" s="33" t="s">
        <v>1231</v>
      </c>
      <c r="B49" s="34" t="s">
        <v>1232</v>
      </c>
      <c r="C49" s="35" t="s">
        <v>1233</v>
      </c>
      <c r="D49" s="35" t="s">
        <v>1234</v>
      </c>
      <c r="E49" s="35" t="s">
        <v>1234</v>
      </c>
      <c r="F49" s="35" t="s">
        <v>1234</v>
      </c>
      <c r="G49" s="35" t="s">
        <v>1234</v>
      </c>
      <c r="H49" s="36" t="str">
        <f>IFERROR(__xludf.DUMMYFUNCTION("IFERROR(INDEX(FILTER('棲息地'!$B$2:$B995 &amp; "" / "" &amp; '棲息地'!$C$2:$C995, ISNUMBER(SEARCH($B49, '棲息地'!$D$2:$D995))), 1), """")"),"")</f>
        <v/>
      </c>
      <c r="I49" s="36" t="str">
        <f>IFERROR(__xludf.DUMMYFUNCTION("IFERROR(INDEX(FILTER('棲息地'!$D$2:$D995, ISNUMBER(SEARCH($B49, '棲息地'!$D$2:$D995))), 1), """")"),"")</f>
        <v/>
      </c>
      <c r="J49" s="36" t="str">
        <f>IFERROR(__xludf.DUMMYFUNCTION("IFERROR(INDEX(FILTER('棲息地'!$B$2:$B995 &amp; "" / "" &amp; '棲息地'!$C$2:$C995, ISNUMBER(SEARCH($B49, '棲息地'!$D$2:$D995))), 2), """")"),"")</f>
        <v/>
      </c>
      <c r="K49" s="36" t="str">
        <f>IFERROR(__xludf.DUMMYFUNCTION("IFERROR(INDEX(FILTER('棲息地'!$D$2:$D995, ISNUMBER(SEARCH($B49, '棲息地'!$D$2:$D995))), 2), """")"),"")</f>
        <v/>
      </c>
      <c r="L49" s="36" t="str">
        <f>IFERROR(__xludf.DUMMYFUNCTION("IFERROR(INDEX(FILTER('棲息地'!$D$2:$D995, ISNUMBER(SEARCH($B49, '棲息地'!$D$2:$D995))), 3), """")"),"")</f>
        <v/>
      </c>
      <c r="M49" s="36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22.5" customHeight="1">
      <c r="A50" s="33" t="s">
        <v>1235</v>
      </c>
      <c r="B50" s="34" t="s">
        <v>1236</v>
      </c>
      <c r="C50" s="35" t="s">
        <v>1237</v>
      </c>
      <c r="D50" s="34" t="s">
        <v>1080</v>
      </c>
      <c r="E50" s="35" t="s">
        <v>1200</v>
      </c>
      <c r="F50" s="35" t="s">
        <v>1238</v>
      </c>
      <c r="G50" s="35" t="s">
        <v>1129</v>
      </c>
      <c r="H50" s="36" t="str">
        <f>IFERROR(__xludf.DUMMYFUNCTION("IFERROR(INDEX(FILTER('棲息地'!$B$2:$B995 &amp; "" / "" &amp; '棲息地'!$C$2:$C995, ISNUMBER(SEARCH($B50, '棲息地'!$D$2:$D995))), 1), """")"),"高崗的草叢 / 綠草 ×4、高處 ×1")</f>
        <v>高崗的草叢 / 綠草 ×4、高處 ×1</v>
      </c>
      <c r="I50" s="36" t="str">
        <f>IFERROR(__xludf.DUMMYFUNCTION("IFERROR(INDEX(FILTER('棲息地'!$D$2:$D995, ISNUMBER(SEARCH($B50, '棲息地'!$D$2:$D995))), 1), """")"),"咕咕、波波、比比鳥")</f>
        <v>咕咕、波波、比比鳥</v>
      </c>
      <c r="J50" s="36" t="str">
        <f>IFERROR(__xludf.DUMMYFUNCTION("IFERROR(INDEX(FILTER('棲息地'!$B$2:$B995 &amp; "" / "" &amp; '棲息地'!$C$2:$C995, ISNUMBER(SEARCH($B50, '棲息地'!$D$2:$D995))), 2), """")"),"漂亮的花田 / 原野之花 ×4")</f>
        <v>漂亮的花田 / 原野之花 ×4</v>
      </c>
      <c r="K50" s="36" t="str">
        <f>IFERROR(__xludf.DUMMYFUNCTION("IFERROR(INDEX(FILTER('棲息地'!$D$2:$D995, ISNUMBER(SEARCH($B50, '棲息地'!$D$2:$D995))), 2), """")"),"咕咕、三蜜蜂、伊布、波波（空空鎮)、鴨嘴寶寶（空空鎮)")</f>
        <v>咕咕、三蜜蜂、伊布、波波（空空鎮)、鴨嘴寶寶（空空鎮)</v>
      </c>
      <c r="L50" s="36" t="str">
        <f>IFERROR(__xludf.DUMMYFUNCTION("IFERROR(INDEX(FILTER('棲息地'!$D$2:$D995, ISNUMBER(SEARCH($B50, '棲息地'!$D$2:$D995))), 3), """")"),"咕咕、貓頭夜鷹")</f>
        <v>咕咕、貓頭夜鷹</v>
      </c>
      <c r="M50" s="36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22.5" customHeight="1">
      <c r="A51" s="33" t="s">
        <v>1239</v>
      </c>
      <c r="B51" s="34" t="s">
        <v>1240</v>
      </c>
      <c r="C51" s="35" t="s">
        <v>1237</v>
      </c>
      <c r="D51" s="34" t="s">
        <v>1080</v>
      </c>
      <c r="E51" s="35" t="s">
        <v>1200</v>
      </c>
      <c r="F51" s="35" t="s">
        <v>1241</v>
      </c>
      <c r="G51" s="35" t="s">
        <v>1129</v>
      </c>
      <c r="H51" s="36" t="str">
        <f>IFERROR(__xludf.DUMMYFUNCTION("IFERROR(INDEX(FILTER('棲息地'!$B$2:$B995 &amp; "" / "" &amp; '棲息地'!$C$2:$C995, ISNUMBER(SEARCH($B51, '棲息地'!$D$2:$D995))), 1), """")"),"柔光伴好眠 / 床鋪(任意) ×1、桌子(任意) ×1、細長蠟燭 ×1")</f>
        <v>柔光伴好眠 / 床鋪(任意) ×1、桌子(任意) ×1、細長蠟燭 ×1</v>
      </c>
      <c r="I51" s="36" t="str">
        <f>IFERROR(__xludf.DUMMYFUNCTION("IFERROR(INDEX(FILTER('棲息地'!$D$2:$D995, ISNUMBER(SEARCH($B51, '棲息地'!$D$2:$D995))), 1), """")"),"咕咕、貓頭夜鷹")</f>
        <v>咕咕、貓頭夜鷹</v>
      </c>
      <c r="J51" s="36" t="str">
        <f>IFERROR(__xludf.DUMMYFUNCTION("IFERROR(INDEX(FILTER('棲息地'!$B$2:$B995 &amp; "" / "" &amp; '棲息地'!$C$2:$C995, ISNUMBER(SEARCH($B51, '棲息地'!$D$2:$D995))), 2), """")"),"")</f>
        <v/>
      </c>
      <c r="K51" s="36" t="str">
        <f>IFERROR(__xludf.DUMMYFUNCTION("IFERROR(INDEX(FILTER('棲息地'!$D$2:$D995, ISNUMBER(SEARCH($B51, '棲息地'!$D$2:$D995))), 2), """")"),"")</f>
        <v/>
      </c>
      <c r="L51" s="36" t="str">
        <f>IFERROR(__xludf.DUMMYFUNCTION("IFERROR(INDEX(FILTER('棲息地'!$D$2:$D995, ISNUMBER(SEARCH($B51, '棲息地'!$D$2:$D995))), 3), """")"),"")</f>
        <v/>
      </c>
      <c r="M51" s="36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22.5" customHeight="1">
      <c r="A52" s="33" t="s">
        <v>1242</v>
      </c>
      <c r="B52" s="34" t="s">
        <v>1243</v>
      </c>
      <c r="C52" s="35" t="s">
        <v>1222</v>
      </c>
      <c r="D52" s="34" t="s">
        <v>1080</v>
      </c>
      <c r="E52" s="35" t="s">
        <v>1081</v>
      </c>
      <c r="F52" s="35" t="s">
        <v>1244</v>
      </c>
      <c r="G52" s="35" t="s">
        <v>1083</v>
      </c>
      <c r="H52" s="36" t="str">
        <f>IFERROR(__xludf.DUMMYFUNCTION("IFERROR(INDEX(FILTER('棲息地'!$B$2:$B995 &amp; "" / "" &amp; '棲息地'!$C$2:$C995, ISNUMBER(SEARCH($B52, '棲息地'!$D$2:$D995))), 1), """")"),"樹蔭的草叢 / 大樹 ×1、綠草 ×4")</f>
        <v>樹蔭的草叢 / 大樹 ×1、綠草 ×4</v>
      </c>
      <c r="I52" s="36" t="str">
        <f>IFERROR(__xludf.DUMMYFUNCTION("IFERROR(INDEX(FILTER('棲息地'!$D$2:$D995, ISNUMBER(SEARCH($B52, '棲息地'!$D$2:$D995))), 1), """")"),"飛天螳螂、喇叭芽、巨鉗螳螂（空空鎮)、赫拉克羅斯、凱羅斯、貪心栗鼠（空空鎮)")</f>
        <v>飛天螳螂、喇叭芽、巨鉗螳螂（空空鎮)、赫拉克羅斯、凱羅斯、貪心栗鼠（空空鎮)</v>
      </c>
      <c r="J52" s="36" t="str">
        <f>IFERROR(__xludf.DUMMYFUNCTION("IFERROR(INDEX(FILTER('棲息地'!$B$2:$B995 &amp; "" / "" &amp; '棲息地'!$C$2:$C995, ISNUMBER(SEARCH($B52, '棲息地'!$D$2:$D995))), 2), """")"),"")</f>
        <v/>
      </c>
      <c r="K52" s="36" t="str">
        <f>IFERROR(__xludf.DUMMYFUNCTION("IFERROR(INDEX(FILTER('棲息地'!$D$2:$D995, ISNUMBER(SEARCH($B52, '棲息地'!$D$2:$D995))), 2), """")"),"")</f>
        <v/>
      </c>
      <c r="L52" s="36" t="str">
        <f>IFERROR(__xludf.DUMMYFUNCTION("IFERROR(INDEX(FILTER('棲息地'!$D$2:$D995, ISNUMBER(SEARCH($B52, '棲息地'!$D$2:$D995))), 3), """")"),"")</f>
        <v/>
      </c>
      <c r="M52" s="36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22.5" customHeight="1">
      <c r="A53" s="33" t="s">
        <v>1245</v>
      </c>
      <c r="B53" s="34" t="s">
        <v>1246</v>
      </c>
      <c r="C53" s="35" t="s">
        <v>1247</v>
      </c>
      <c r="D53" s="34" t="s">
        <v>1080</v>
      </c>
      <c r="E53" s="35" t="s">
        <v>1200</v>
      </c>
      <c r="F53" s="35" t="s">
        <v>1248</v>
      </c>
      <c r="G53" s="35" t="s">
        <v>1083</v>
      </c>
      <c r="H53" s="36" t="str">
        <f>IFERROR(__xludf.DUMMYFUNCTION("IFERROR(INDEX(FILTER('棲息地'!$B$2:$B995 &amp; "" / "" &amp; '棲息地'!$C$2:$C995, ISNUMBER(SEARCH($B53, '棲息地'!$D$2:$D995))), 1), """")"),"濕潤的花田 / 原野之花 ×4、水 ×2")</f>
        <v>濕潤的花田 / 原野之花 ×4、水 ×2</v>
      </c>
      <c r="I53" s="36" t="str">
        <f>IFERROR(__xludf.DUMMYFUNCTION("IFERROR(INDEX(FILTER('棲息地'!$D$2:$D995, ISNUMBER(SEARCH($B53, '棲息地'!$D$2:$D995))), 1), """")"),"甜甜螢、電螢蟲")</f>
        <v>甜甜螢、電螢蟲</v>
      </c>
      <c r="J53" s="36" t="str">
        <f>IFERROR(__xludf.DUMMYFUNCTION("IFERROR(INDEX(FILTER('棲息地'!$B$2:$B995 &amp; "" / "" &amp; '棲息地'!$C$2:$C995, ISNUMBER(SEARCH($B53, '棲息地'!$D$2:$D995))), 2), """")"),"")</f>
        <v/>
      </c>
      <c r="K53" s="36" t="str">
        <f>IFERROR(__xludf.DUMMYFUNCTION("IFERROR(INDEX(FILTER('棲息地'!$D$2:$D995, ISNUMBER(SEARCH($B53, '棲息地'!$D$2:$D995))), 2), """")"),"")</f>
        <v/>
      </c>
      <c r="L53" s="36" t="str">
        <f>IFERROR(__xludf.DUMMYFUNCTION("IFERROR(INDEX(FILTER('棲息地'!$D$2:$D995, ISNUMBER(SEARCH($B53, '棲息地'!$D$2:$D995))), 3), """")"),"")</f>
        <v/>
      </c>
      <c r="M53" s="36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22.5" customHeight="1">
      <c r="A54" s="33" t="s">
        <v>1249</v>
      </c>
      <c r="B54" s="34" t="s">
        <v>1250</v>
      </c>
      <c r="C54" s="35" t="s">
        <v>1247</v>
      </c>
      <c r="D54" s="34" t="s">
        <v>1080</v>
      </c>
      <c r="E54" s="35" t="s">
        <v>1200</v>
      </c>
      <c r="F54" s="35" t="s">
        <v>1248</v>
      </c>
      <c r="G54" s="35" t="s">
        <v>1087</v>
      </c>
      <c r="H54" s="36" t="str">
        <f>IFERROR(__xludf.DUMMYFUNCTION("IFERROR(INDEX(FILTER('棲息地'!$B$2:$B995 &amp; "" / "" &amp; '棲息地'!$C$2:$C995, ISNUMBER(SEARCH($B54, '棲息地'!$D$2:$D995))), 1), """")"),"濕潤的花田 / 原野之花 ×4、水 ×2")</f>
        <v>濕潤的花田 / 原野之花 ×4、水 ×2</v>
      </c>
      <c r="I54" s="36" t="str">
        <f>IFERROR(__xludf.DUMMYFUNCTION("IFERROR(INDEX(FILTER('棲息地'!$D$2:$D995, ISNUMBER(SEARCH($B54, '棲息地'!$D$2:$D995))), 1), """")"),"甜甜螢、電螢蟲")</f>
        <v>甜甜螢、電螢蟲</v>
      </c>
      <c r="J54" s="36" t="str">
        <f>IFERROR(__xludf.DUMMYFUNCTION("IFERROR(INDEX(FILTER('棲息地'!$B$2:$B995 &amp; "" / "" &amp; '棲息地'!$C$2:$C995, ISNUMBER(SEARCH($B54, '棲息地'!$D$2:$D995))), 2), """")"),"")</f>
        <v/>
      </c>
      <c r="K54" s="36" t="str">
        <f>IFERROR(__xludf.DUMMYFUNCTION("IFERROR(INDEX(FILTER('棲息地'!$D$2:$D995, ISNUMBER(SEARCH($B54, '棲息地'!$D$2:$D995))), 2), """")"),"")</f>
        <v/>
      </c>
      <c r="L54" s="36" t="str">
        <f>IFERROR(__xludf.DUMMYFUNCTION("IFERROR(INDEX(FILTER('棲息地'!$D$2:$D995, ISNUMBER(SEARCH($B54, '棲息地'!$D$2:$D995))), 3), """")"),"")</f>
        <v/>
      </c>
      <c r="M54" s="36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22.5" customHeight="1">
      <c r="A55" s="33" t="s">
        <v>1251</v>
      </c>
      <c r="B55" s="34" t="s">
        <v>108</v>
      </c>
      <c r="C55" s="35" t="s">
        <v>1252</v>
      </c>
      <c r="D55" s="34" t="s">
        <v>1080</v>
      </c>
      <c r="E55" s="35" t="s">
        <v>1103</v>
      </c>
      <c r="F55" s="35" t="s">
        <v>1253</v>
      </c>
      <c r="G55" s="35" t="s">
        <v>1095</v>
      </c>
      <c r="H55" s="36" t="str">
        <f>IFERROR(__xludf.DUMMYFUNCTION("IFERROR(INDEX(FILTER('棲息地'!$B$2:$B995 &amp; "" / "" &amp; '棲息地'!$C$2:$C995, ISNUMBER(SEARCH($B55, '棲息地'!$D$2:$D995))), 1), """")"),"餓肚肚用餐區 / 椅子(任意) ×1、桌子(任意) ×1、盤子上的食物 ×1")</f>
        <v>餓肚肚用餐區 / 椅子(任意) ×1、桌子(任意) ×1、盤子上的食物 ×1</v>
      </c>
      <c r="I55" s="36" t="str">
        <f>IFERROR(__xludf.DUMMYFUNCTION("IFERROR(INDEX(FILTER('棲息地'!$D$2:$D995, ISNUMBER(SEARCH($B55, '棲息地'!$D$2:$D995))), 1), """")"),"溶食獸")</f>
        <v>溶食獸</v>
      </c>
      <c r="J55" s="36" t="str">
        <f>IFERROR(__xludf.DUMMYFUNCTION("IFERROR(INDEX(FILTER('棲息地'!$B$2:$B995 &amp; "" / "" &amp; '棲息地'!$C$2:$C995, ISNUMBER(SEARCH($B55, '棲息地'!$D$2:$D995))), 2), """")"),"")</f>
        <v/>
      </c>
      <c r="K55" s="36" t="str">
        <f>IFERROR(__xludf.DUMMYFUNCTION("IFERROR(INDEX(FILTER('棲息地'!$D$2:$D995, ISNUMBER(SEARCH($B55, '棲息地'!$D$2:$D995))), 2), """")"),"")</f>
        <v/>
      </c>
      <c r="L55" s="36" t="str">
        <f>IFERROR(__xludf.DUMMYFUNCTION("IFERROR(INDEX(FILTER('棲息地'!$D$2:$D995, ISNUMBER(SEARCH($B55, '棲息地'!$D$2:$D995))), 3), """")"),"")</f>
        <v/>
      </c>
      <c r="M55" s="36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22.5" customHeight="1">
      <c r="A56" s="33" t="s">
        <v>1254</v>
      </c>
      <c r="B56" s="34" t="s">
        <v>1255</v>
      </c>
      <c r="C56" s="35" t="s">
        <v>1252</v>
      </c>
      <c r="D56" s="34" t="s">
        <v>1080</v>
      </c>
      <c r="E56" s="35" t="s">
        <v>1103</v>
      </c>
      <c r="F56" s="35" t="s">
        <v>1256</v>
      </c>
      <c r="G56" s="35" t="s">
        <v>1125</v>
      </c>
      <c r="H56" s="36" t="str">
        <f>IFERROR(__xludf.DUMMYFUNCTION("IFERROR(INDEX(FILTER('棲息地'!$B$2:$B995 &amp; "" / "" &amp; '棲息地'!$C$2:$C995, ISNUMBER(SEARCH($B56, '棲息地'!$D$2:$D995))), 1), """")"),"充滿期待的餐桌 / 派對餐盤 ×4、椅子(長) ×2、桌子(大) ×1")</f>
        <v>充滿期待的餐桌 / 派對餐盤 ×4、椅子(長) ×2、桌子(大) ×1</v>
      </c>
      <c r="I56" s="36" t="str">
        <f>IFERROR(__xludf.DUMMYFUNCTION("IFERROR(INDEX(FILTER('棲息地'!$D$2:$D995, ISNUMBER(SEARCH($B56, '棲息地'!$D$2:$D995))), 1), """")"),"吞食獸（★）")</f>
        <v>吞食獸（★）</v>
      </c>
      <c r="J56" s="36" t="str">
        <f>IFERROR(__xludf.DUMMYFUNCTION("IFERROR(INDEX(FILTER('棲息地'!$B$2:$B995 &amp; "" / "" &amp; '棲息地'!$C$2:$C995, ISNUMBER(SEARCH($B56, '棲息地'!$D$2:$D995))), 2), """")"),"")</f>
        <v/>
      </c>
      <c r="K56" s="36" t="str">
        <f>IFERROR(__xludf.DUMMYFUNCTION("IFERROR(INDEX(FILTER('棲息地'!$D$2:$D995, ISNUMBER(SEARCH($B56, '棲息地'!$D$2:$D995))), 2), """")"),"")</f>
        <v/>
      </c>
      <c r="L56" s="36" t="str">
        <f>IFERROR(__xludf.DUMMYFUNCTION("IFERROR(INDEX(FILTER('棲息地'!$D$2:$D995, ISNUMBER(SEARCH($B56, '棲息地'!$D$2:$D995))), 3), """")"),"")</f>
        <v/>
      </c>
      <c r="M56" s="36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22.5" customHeight="1">
      <c r="A57" s="33" t="s">
        <v>1257</v>
      </c>
      <c r="B57" s="34" t="s">
        <v>223</v>
      </c>
      <c r="C57" s="35" t="s">
        <v>1079</v>
      </c>
      <c r="D57" s="34" t="s">
        <v>1080</v>
      </c>
      <c r="E57" s="35" t="s">
        <v>1180</v>
      </c>
      <c r="F57" s="35" t="s">
        <v>1258</v>
      </c>
      <c r="G57" s="35" t="s">
        <v>1095</v>
      </c>
      <c r="H57" s="36" t="str">
        <f>IFERROR(__xludf.DUMMYFUNCTION("IFERROR(INDEX(FILTER('棲息地'!$B$2:$B995 &amp; "" / "" &amp; '棲息地'!$C$2:$C995, ISNUMBER(SEARCH($B57, '棲息地'!$D$2:$D995))), 1), """")"),"大晴天地點 / 晴天漂浮泡泡娃娃 ×2、盤子上的食物 ×1")</f>
        <v>大晴天地點 / 晴天漂浮泡泡娃娃 ×2、盤子上的食物 ×1</v>
      </c>
      <c r="I57" s="36" t="str">
        <f>IFERROR(__xludf.DUMMYFUNCTION("IFERROR(INDEX(FILTER('棲息地'!$D$2:$D995, ISNUMBER(SEARCH($B57, '棲息地'!$D$2:$D995))), 1), """")"),"刺球仙人掌")</f>
        <v>刺球仙人掌</v>
      </c>
      <c r="J57" s="36" t="str">
        <f>IFERROR(__xludf.DUMMYFUNCTION("IFERROR(INDEX(FILTER('棲息地'!$B$2:$B995 &amp; "" / "" &amp; '棲息地'!$C$2:$C995, ISNUMBER(SEARCH($B57, '棲息地'!$D$2:$D995))), 2), """")"),"")</f>
        <v/>
      </c>
      <c r="K57" s="36" t="str">
        <f>IFERROR(__xludf.DUMMYFUNCTION("IFERROR(INDEX(FILTER('棲息地'!$D$2:$D995, ISNUMBER(SEARCH($B57, '棲息地'!$D$2:$D995))), 2), """")"),"")</f>
        <v/>
      </c>
      <c r="L57" s="36" t="str">
        <f>IFERROR(__xludf.DUMMYFUNCTION("IFERROR(INDEX(FILTER('棲息地'!$D$2:$D995, ISNUMBER(SEARCH($B57, '棲息地'!$D$2:$D995))), 3), """")"),"")</f>
        <v/>
      </c>
      <c r="M57" s="36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22.5" customHeight="1">
      <c r="A58" s="33" t="s">
        <v>1259</v>
      </c>
      <c r="B58" s="34" t="s">
        <v>1260</v>
      </c>
      <c r="C58" s="35" t="s">
        <v>1089</v>
      </c>
      <c r="D58" s="35" t="s">
        <v>1261</v>
      </c>
      <c r="E58" s="35" t="s">
        <v>1180</v>
      </c>
      <c r="F58" s="35" t="s">
        <v>1262</v>
      </c>
      <c r="G58" s="35" t="s">
        <v>1129</v>
      </c>
      <c r="H58" s="36" t="str">
        <f>IFERROR(__xludf.DUMMYFUNCTION("IFERROR(INDEX(FILTER('棲息地'!$B$2:$B995 &amp; "" / "" &amp; '棲息地'!$C$2:$C995, ISNUMBER(SEARCH($B58, '棲息地'!$D$2:$D995))), 1), """")"),"樹蔭的花田 / 原野之花 ×4")</f>
        <v>樹蔭的花田 / 原野之花 ×4</v>
      </c>
      <c r="I58" s="36" t="str">
        <f>IFERROR(__xludf.DUMMYFUNCTION("IFERROR(INDEX(FILTER('棲息地'!$D$2:$D995, ISNUMBER(SEARCH($B58, '棲息地'!$D$2:$D995))), 1), """")"),"黏黏寶、夢歌仙人掌、鍬農炮蟲（空空鎮)")</f>
        <v>黏黏寶、夢歌仙人掌、鍬農炮蟲（空空鎮)</v>
      </c>
      <c r="J58" s="36" t="str">
        <f>IFERROR(__xludf.DUMMYFUNCTION("IFERROR(INDEX(FILTER('棲息地'!$B$2:$B995 &amp; "" / "" &amp; '棲息地'!$C$2:$C995, ISNUMBER(SEARCH($B58, '棲息地'!$D$2:$D995))), 2), """")"),"")</f>
        <v/>
      </c>
      <c r="K58" s="36" t="str">
        <f>IFERROR(__xludf.DUMMYFUNCTION("IFERROR(INDEX(FILTER('棲息地'!$D$2:$D995, ISNUMBER(SEARCH($B58, '棲息地'!$D$2:$D995))), 2), """")"),"")</f>
        <v/>
      </c>
      <c r="L58" s="36" t="str">
        <f>IFERROR(__xludf.DUMMYFUNCTION("IFERROR(INDEX(FILTER('棲息地'!$D$2:$D995, ISNUMBER(SEARCH($B58, '棲息地'!$D$2:$D995))), 3), """")"),"")</f>
        <v/>
      </c>
      <c r="M58" s="36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22.5" customHeight="1">
      <c r="A59" s="33" t="s">
        <v>1263</v>
      </c>
      <c r="B59" s="34" t="s">
        <v>1264</v>
      </c>
      <c r="C59" s="35" t="s">
        <v>1265</v>
      </c>
      <c r="D59" s="35" t="s">
        <v>1266</v>
      </c>
      <c r="E59" s="35" t="s">
        <v>1081</v>
      </c>
      <c r="F59" s="35" t="s">
        <v>1267</v>
      </c>
      <c r="G59" s="35" t="s">
        <v>1083</v>
      </c>
      <c r="H59" s="36" t="str">
        <f>IFERROR(__xludf.DUMMYFUNCTION("IFERROR(INDEX(FILTER('棲息地'!$B$2:$B995 &amp; "" / "" &amp; '棲息地'!$C$2:$C995, ISNUMBER(SEARCH($B59, '棲息地'!$D$2:$D995))), 1), """")"),"漂亮的花田 / 原野之花 ×4")</f>
        <v>漂亮的花田 / 原野之花 ×4</v>
      </c>
      <c r="I59" s="36" t="str">
        <f>IFERROR(__xludf.DUMMYFUNCTION("IFERROR(INDEX(FILTER('棲息地'!$D$2:$D995, ISNUMBER(SEARCH($B59, '棲息地'!$D$2:$D995))), 1), """")"),"咕咕、三蜜蜂、伊布、波波（空空鎮)、鴨嘴寶寶（空空鎮)")</f>
        <v>咕咕、三蜜蜂、伊布、波波（空空鎮)、鴨嘴寶寶（空空鎮)</v>
      </c>
      <c r="J59" s="36" t="str">
        <f>IFERROR(__xludf.DUMMYFUNCTION("IFERROR(INDEX(FILTER('棲息地'!$B$2:$B995 &amp; "" / "" &amp; '棲息地'!$C$2:$C995, ISNUMBER(SEARCH($B59, '棲息地'!$D$2:$D995))), 2), """")"),"")</f>
        <v/>
      </c>
      <c r="K59" s="36" t="str">
        <f>IFERROR(__xludf.DUMMYFUNCTION("IFERROR(INDEX(FILTER('棲息地'!$D$2:$D995, ISNUMBER(SEARCH($B59, '棲息地'!$D$2:$D995))), 2), """")"),"")</f>
        <v/>
      </c>
      <c r="L59" s="36" t="str">
        <f>IFERROR(__xludf.DUMMYFUNCTION("IFERROR(INDEX(FILTER('棲息地'!$D$2:$D995, ISNUMBER(SEARCH($B59, '棲息地'!$D$2:$D995))), 3), """")"),"")</f>
        <v/>
      </c>
      <c r="M59" s="36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22.5" customHeight="1">
      <c r="A60" s="33" t="s">
        <v>1268</v>
      </c>
      <c r="B60" s="34" t="s">
        <v>1269</v>
      </c>
      <c r="C60" s="35" t="s">
        <v>1270</v>
      </c>
      <c r="D60" s="34" t="s">
        <v>1080</v>
      </c>
      <c r="E60" s="35" t="s">
        <v>1081</v>
      </c>
      <c r="F60" s="35" t="s">
        <v>1271</v>
      </c>
      <c r="G60" s="35" t="s">
        <v>1083</v>
      </c>
      <c r="H60" s="36" t="str">
        <f>IFERROR(__xludf.DUMMYFUNCTION("IFERROR(INDEX(FILTER('棲息地'!$B$2:$B995 &amp; "" / "" &amp; '棲息地'!$C$2:$C995, ISNUMBER(SEARCH($B60, '棲息地'!$D$2:$D995))), 1), """")"),"整片的花海 / 原野之花 ×8")</f>
        <v>整片的花海 / 原野之花 ×8</v>
      </c>
      <c r="I60" s="36" t="str">
        <f>IFERROR(__xludf.DUMMYFUNCTION("IFERROR(INDEX(FILTER('棲息地'!$D$2:$D995, ISNUMBER(SEARCH($B60, '棲息地'!$D$2:$D995))), 1), """")"),"妙蛙草、妙蛙花、蜂女王")</f>
        <v>妙蛙草、妙蛙花、蜂女王</v>
      </c>
      <c r="J60" s="36" t="str">
        <f>IFERROR(__xludf.DUMMYFUNCTION("IFERROR(INDEX(FILTER('棲息地'!$B$2:$B995 &amp; "" / "" &amp; '棲息地'!$C$2:$C995, ISNUMBER(SEARCH($B60, '棲息地'!$D$2:$D995))), 2), """")"),"")</f>
        <v/>
      </c>
      <c r="K60" s="36" t="str">
        <f>IFERROR(__xludf.DUMMYFUNCTION("IFERROR(INDEX(FILTER('棲息地'!$D$2:$D995, ISNUMBER(SEARCH($B60, '棲息地'!$D$2:$D995))), 2), """")"),"")</f>
        <v/>
      </c>
      <c r="L60" s="36" t="str">
        <f>IFERROR(__xludf.DUMMYFUNCTION("IFERROR(INDEX(FILTER('棲息地'!$D$2:$D995, ISNUMBER(SEARCH($B60, '棲息地'!$D$2:$D995))), 3), """")"),"")</f>
        <v/>
      </c>
      <c r="M60" s="36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22.5" customHeight="1">
      <c r="A61" s="33" t="s">
        <v>1272</v>
      </c>
      <c r="B61" s="34" t="s">
        <v>148</v>
      </c>
      <c r="C61" s="35" t="s">
        <v>1103</v>
      </c>
      <c r="D61" s="34" t="s">
        <v>1080</v>
      </c>
      <c r="E61" s="35" t="s">
        <v>1103</v>
      </c>
      <c r="F61" s="35" t="s">
        <v>1273</v>
      </c>
      <c r="G61" s="35" t="s">
        <v>1274</v>
      </c>
      <c r="H61" s="36" t="str">
        <f>IFERROR(__xludf.DUMMYFUNCTION("IFERROR(INDEX(FILTER('棲息地'!$B$2:$B995 &amp; "" / "" &amp; '棲息地'!$C$2:$C995, ISNUMBER(SEARCH($B61, '棲息地'!$D$2:$D995))), 1), """")"),"指路牌 / 箭頭告示牌 ×1、木頭小路 ×3")</f>
        <v>指路牌 / 箭頭告示牌 ×1、木頭小路 ×3</v>
      </c>
      <c r="I61" s="36" t="str">
        <f>IFERROR(__xludf.DUMMYFUNCTION("IFERROR(INDEX(FILTER('棲息地'!$D$2:$D995, ISNUMBER(SEARCH($B61, '棲息地'!$D$2:$D995))), 1), """")"),"無殼海兔")</f>
        <v>無殼海兔</v>
      </c>
      <c r="J61" s="36" t="str">
        <f>IFERROR(__xludf.DUMMYFUNCTION("IFERROR(INDEX(FILTER('棲息地'!$B$2:$B995 &amp; "" / "" &amp; '棲息地'!$C$2:$C995, ISNUMBER(SEARCH($B61, '棲息地'!$D$2:$D995))), 2), """")"),"")</f>
        <v/>
      </c>
      <c r="K61" s="36" t="str">
        <f>IFERROR(__xludf.DUMMYFUNCTION("IFERROR(INDEX(FILTER('棲息地'!$D$2:$D995, ISNUMBER(SEARCH($B61, '棲息地'!$D$2:$D995))), 2), """")"),"")</f>
        <v/>
      </c>
      <c r="L61" s="36" t="str">
        <f>IFERROR(__xludf.DUMMYFUNCTION("IFERROR(INDEX(FILTER('棲息地'!$D$2:$D995, ISNUMBER(SEARCH($B61, '棲息地'!$D$2:$D995))), 3), """")"),"")</f>
        <v/>
      </c>
      <c r="M61" s="36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22.5" customHeight="1">
      <c r="A62" s="33" t="s">
        <v>1275</v>
      </c>
      <c r="B62" s="34" t="s">
        <v>1276</v>
      </c>
      <c r="C62" s="35" t="s">
        <v>1109</v>
      </c>
      <c r="D62" s="34" t="s">
        <v>1080</v>
      </c>
      <c r="E62" s="35" t="s">
        <v>1103</v>
      </c>
      <c r="F62" s="35" t="s">
        <v>1277</v>
      </c>
      <c r="G62" s="35" t="s">
        <v>1274</v>
      </c>
      <c r="H62" s="36" t="str">
        <f>IFERROR(__xludf.DUMMYFUNCTION("IFERROR(INDEX(FILTER('棲息地'!$B$2:$B995 &amp; "" / "" &amp; '棲息地'!$C$2:$C995, ISNUMBER(SEARCH($B62, '棲息地'!$D$2:$D995))), 1), """")"),"海釣 / 釣竿 ×1、椅子 ×1、海水 ×1")</f>
        <v>海釣 / 釣竿 ×1、椅子 ×1、海水 ×1</v>
      </c>
      <c r="I62" s="36" t="str">
        <f>IFERROR(__xludf.DUMMYFUNCTION("IFERROR(INDEX(FILTER('棲息地'!$D$2:$D995, ISNUMBER(SEARCH($B62, '棲息地'!$D$2:$D995))), 1), """")"),"鯉魚王、海兔獸")</f>
        <v>鯉魚王、海兔獸</v>
      </c>
      <c r="J62" s="36" t="str">
        <f>IFERROR(__xludf.DUMMYFUNCTION("IFERROR(INDEX(FILTER('棲息地'!$B$2:$B995 &amp; "" / "" &amp; '棲息地'!$C$2:$C995, ISNUMBER(SEARCH($B62, '棲息地'!$D$2:$D995))), 2), """")"),"")</f>
        <v/>
      </c>
      <c r="K62" s="36" t="str">
        <f>IFERROR(__xludf.DUMMYFUNCTION("IFERROR(INDEX(FILTER('棲息地'!$D$2:$D995, ISNUMBER(SEARCH($B62, '棲息地'!$D$2:$D995))), 2), """")"),"")</f>
        <v/>
      </c>
      <c r="L62" s="36" t="str">
        <f>IFERROR(__xludf.DUMMYFUNCTION("IFERROR(INDEX(FILTER('棲息地'!$D$2:$D995, ISNUMBER(SEARCH($B62, '棲息地'!$D$2:$D995))), 3), """")"),"")</f>
        <v/>
      </c>
      <c r="M62" s="36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22.5" customHeight="1">
      <c r="A63" s="33" t="s">
        <v>1278</v>
      </c>
      <c r="B63" s="34" t="s">
        <v>93</v>
      </c>
      <c r="C63" s="35" t="s">
        <v>1279</v>
      </c>
      <c r="D63" s="34" t="s">
        <v>1080</v>
      </c>
      <c r="E63" s="35" t="s">
        <v>1093</v>
      </c>
      <c r="F63" s="35" t="s">
        <v>1280</v>
      </c>
      <c r="G63" s="35" t="s">
        <v>1125</v>
      </c>
      <c r="H63" s="36" t="str">
        <f>IFERROR(__xludf.DUMMYFUNCTION("IFERROR(INDEX(FILTER('棲息地'!$B$2:$B995 &amp; "" / "" &amp; '棲息地'!$C$2:$C995, ISNUMBER(SEARCH($B63, '棲息地'!$D$2:$D995))), 1), """")"),"乘上暖風 / 營火 ×3")</f>
        <v>乘上暖風 / 營火 ×3</v>
      </c>
      <c r="I63" s="36" t="str">
        <f>IFERROR(__xludf.DUMMYFUNCTION("IFERROR(INDEX(FILTER('棲息地'!$D$2:$D995, ISNUMBER(SEARCH($B63, '棲息地'!$D$2:$D995))), 1), """")"),"飄飄球")</f>
        <v>飄飄球</v>
      </c>
      <c r="J63" s="36" t="str">
        <f>IFERROR(__xludf.DUMMYFUNCTION("IFERROR(INDEX(FILTER('棲息地'!$B$2:$B995 &amp; "" / "" &amp; '棲息地'!$C$2:$C995, ISNUMBER(SEARCH($B63, '棲息地'!$D$2:$D995))), 2), """")"),"布偶伴好眠 / 床鋪(任意) ×1")</f>
        <v>布偶伴好眠 / 床鋪(任意) ×1</v>
      </c>
      <c r="K63" s="36" t="str">
        <f>IFERROR(__xludf.DUMMYFUNCTION("IFERROR(INDEX(FILTER('棲息地'!$D$2:$D995, ISNUMBER(SEARCH($B63, '棲息地'!$D$2:$D995))), 2), """")"),"飄飄球、小卡比獸（空空鎮)")</f>
        <v>飄飄球、小卡比獸（空空鎮)</v>
      </c>
      <c r="L63" s="36" t="str">
        <f>IFERROR(__xludf.DUMMYFUNCTION("IFERROR(INDEX(FILTER('棲息地'!$D$2:$D995, ISNUMBER(SEARCH($B63, '棲息地'!$D$2:$D995))), 3), """")"),"")</f>
        <v/>
      </c>
      <c r="M63" s="36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22.5" customHeight="1">
      <c r="A64" s="33" t="s">
        <v>1281</v>
      </c>
      <c r="B64" s="34" t="s">
        <v>907</v>
      </c>
      <c r="C64" s="35" t="s">
        <v>1282</v>
      </c>
      <c r="D64" s="34" t="s">
        <v>1080</v>
      </c>
      <c r="E64" s="35" t="s">
        <v>1093</v>
      </c>
      <c r="F64" s="35" t="s">
        <v>1283</v>
      </c>
      <c r="G64" s="35" t="s">
        <v>1125</v>
      </c>
      <c r="H64" s="36" t="str">
        <f>IFERROR(__xludf.DUMMYFUNCTION("IFERROR(INDEX(FILTER('棲息地'!$B$2:$B995 &amp; "" / "" &amp; '棲息地'!$C$2:$C995, ISNUMBER(SEARCH($B64, '棲息地'!$D$2:$D995))), 1), """")"),"被布偶圍滿 / 常用布偶 ×4、飄飄球/隨風球")</f>
        <v>被布偶圍滿 / 常用布偶 ×4、飄飄球/隨風球</v>
      </c>
      <c r="I64" s="36" t="str">
        <f>IFERROR(__xludf.DUMMYFUNCTION("IFERROR(INDEX(FILTER('棲息地'!$D$2:$D995, ISNUMBER(SEARCH($B64, '棲息地'!$D$2:$D995))), 1), """")"),"隨風球")</f>
        <v>隨風球</v>
      </c>
      <c r="J64" s="36" t="str">
        <f>IFERROR(__xludf.DUMMYFUNCTION("IFERROR(INDEX(FILTER('棲息地'!$B$2:$B995 &amp; "" / "" &amp; '棲息地'!$C$2:$C995, ISNUMBER(SEARCH($B64, '棲息地'!$D$2:$D995))), 2), """")"),"")</f>
        <v/>
      </c>
      <c r="K64" s="36" t="str">
        <f>IFERROR(__xludf.DUMMYFUNCTION("IFERROR(INDEX(FILTER('棲息地'!$D$2:$D995, ISNUMBER(SEARCH($B64, '棲息地'!$D$2:$D995))), 2), """")"),"")</f>
        <v/>
      </c>
      <c r="L64" s="36" t="str">
        <f>IFERROR(__xludf.DUMMYFUNCTION("IFERROR(INDEX(FILTER('棲息地'!$D$2:$D995, ISNUMBER(SEARCH($B64, '棲息地'!$D$2:$D995))), 3), """")"),"")</f>
        <v/>
      </c>
      <c r="M64" s="36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22.5" customHeight="1">
      <c r="A65" s="33" t="s">
        <v>1284</v>
      </c>
      <c r="B65" s="34" t="s">
        <v>1285</v>
      </c>
      <c r="C65" s="35" t="s">
        <v>1139</v>
      </c>
      <c r="D65" s="34" t="s">
        <v>1080</v>
      </c>
      <c r="E65" s="35" t="s">
        <v>1200</v>
      </c>
      <c r="F65" s="35" t="s">
        <v>1286</v>
      </c>
      <c r="G65" s="35" t="s">
        <v>1087</v>
      </c>
      <c r="H65" s="36" t="str">
        <f>IFERROR(__xludf.DUMMYFUNCTION("IFERROR(INDEX(FILTER('棲息地'!$B$2:$B995 &amp; "" / "" &amp; '棲息地'!$C$2:$C995, ISNUMBER(SEARCH($B65, '棲息地'!$D$2:$D995))), 1), """")"),"新鮮蔬菜田 / 蔬菜田(任意) ×8")</f>
        <v>新鮮蔬菜田 / 蔬菜田(任意) ×8</v>
      </c>
      <c r="I65" s="36" t="str">
        <f>IFERROR(__xludf.DUMMYFUNCTION("IFERROR(INDEX(FILTER('棲息地'!$D$2:$D995, ISNUMBER(SEARCH($B65, '棲息地'!$D$2:$D995))), 1), """")"),"螺釘地鼠、龍頭地鼠、木木梟（空空鎮)")</f>
        <v>螺釘地鼠、龍頭地鼠、木木梟（空空鎮)</v>
      </c>
      <c r="J65" s="36" t="str">
        <f>IFERROR(__xludf.DUMMYFUNCTION("IFERROR(INDEX(FILTER('棲息地'!$B$2:$B995 &amp; "" / "" &amp; '棲息地'!$C$2:$C995, ISNUMBER(SEARCH($B65, '棲息地'!$D$2:$D995))), 2), """")"),"")</f>
        <v/>
      </c>
      <c r="K65" s="36" t="str">
        <f>IFERROR(__xludf.DUMMYFUNCTION("IFERROR(INDEX(FILTER('棲息地'!$D$2:$D995, ISNUMBER(SEARCH($B65, '棲息地'!$D$2:$D995))), 2), """")"),"")</f>
        <v/>
      </c>
      <c r="L65" s="36" t="str">
        <f>IFERROR(__xludf.DUMMYFUNCTION("IFERROR(INDEX(FILTER('棲息地'!$D$2:$D995, ISNUMBER(SEARCH($B65, '棲息地'!$D$2:$D995))), 3), """")"),"")</f>
        <v/>
      </c>
      <c r="M65" s="36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22.5" customHeight="1">
      <c r="A66" s="33" t="s">
        <v>1287</v>
      </c>
      <c r="B66" s="34" t="s">
        <v>1288</v>
      </c>
      <c r="C66" s="35" t="s">
        <v>1289</v>
      </c>
      <c r="D66" s="34" t="s">
        <v>1080</v>
      </c>
      <c r="E66" s="35" t="s">
        <v>1200</v>
      </c>
      <c r="F66" s="35" t="s">
        <v>1290</v>
      </c>
      <c r="G66" s="35" t="s">
        <v>1087</v>
      </c>
      <c r="H66" s="36" t="str">
        <f>IFERROR(__xludf.DUMMYFUNCTION("IFERROR(INDEX(FILTER('棲息地'!$B$2:$B995 &amp; "" / "" &amp; '棲息地'!$C$2:$C995, ISNUMBER(SEARCH($B66, '棲息地'!$D$2:$D995))), 1), """")"),"新鮮蔬菜田 / 蔬菜田(任意) ×8")</f>
        <v>新鮮蔬菜田 / 蔬菜田(任意) ×8</v>
      </c>
      <c r="I66" s="36" t="str">
        <f>IFERROR(__xludf.DUMMYFUNCTION("IFERROR(INDEX(FILTER('棲息地'!$D$2:$D995, ISNUMBER(SEARCH($B66, '棲息地'!$D$2:$D995))), 1), """")"),"螺釘地鼠、龍頭地鼠、木木梟（空空鎮)")</f>
        <v>螺釘地鼠、龍頭地鼠、木木梟（空空鎮)</v>
      </c>
      <c r="J66" s="36" t="str">
        <f>IFERROR(__xludf.DUMMYFUNCTION("IFERROR(INDEX(FILTER('棲息地'!$B$2:$B995 &amp; "" / "" &amp; '棲息地'!$C$2:$C995, ISNUMBER(SEARCH($B66, '棲息地'!$D$2:$D995))), 2), """")"),"")</f>
        <v/>
      </c>
      <c r="K66" s="36" t="str">
        <f>IFERROR(__xludf.DUMMYFUNCTION("IFERROR(INDEX(FILTER('棲息地'!$D$2:$D995, ISNUMBER(SEARCH($B66, '棲息地'!$D$2:$D995))), 2), """")"),"")</f>
        <v/>
      </c>
      <c r="L66" s="36" t="str">
        <f>IFERROR(__xludf.DUMMYFUNCTION("IFERROR(INDEX(FILTER('棲息地'!$D$2:$D995, ISNUMBER(SEARCH($B66, '棲息地'!$D$2:$D995))), 3), """")"),"")</f>
        <v/>
      </c>
      <c r="M66" s="36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22.5" customHeight="1">
      <c r="A67" s="33" t="s">
        <v>1291</v>
      </c>
      <c r="B67" s="34" t="s">
        <v>1292</v>
      </c>
      <c r="C67" s="35" t="s">
        <v>1186</v>
      </c>
      <c r="D67" s="34" t="s">
        <v>1080</v>
      </c>
      <c r="E67" s="35" t="s">
        <v>1081</v>
      </c>
      <c r="F67" s="35" t="s">
        <v>1293</v>
      </c>
      <c r="G67" s="35" t="s">
        <v>1095</v>
      </c>
      <c r="H67" s="36" t="str">
        <f>IFERROR(__xludf.DUMMYFUNCTION("IFERROR(INDEX(FILTER('棲息地'!$B$2:$B995 &amp; "" / "" &amp; '棲息地'!$C$2:$C995, ISNUMBER(SEARCH($B67, '棲息地'!$D$2:$D995))), 1), """")"),"岩影的草地 / 綠草 ×4、大石頭 ×1")</f>
        <v>岩影的草地 / 綠草 ×4、大石頭 ×1</v>
      </c>
      <c r="I67" s="36" t="str">
        <f>IFERROR(__xludf.DUMMYFUNCTION("IFERROR(INDEX(FILTER('棲息地'!$D$2:$D995, ISNUMBER(SEARCH($B67, '棲息地'!$D$2:$D995))), 1), """")"),"搬運小匠、鐵骨土人、腕力（空空鎮)")</f>
        <v>搬運小匠、鐵骨土人、腕力（空空鎮)</v>
      </c>
      <c r="J67" s="36" t="str">
        <f>IFERROR(__xludf.DUMMYFUNCTION("IFERROR(INDEX(FILTER('棲息地'!$B$2:$B995 &amp; "" / "" &amp; '棲息地'!$C$2:$C995, ISNUMBER(SEARCH($B67, '棲息地'!$D$2:$D995))), 2), """")"),"")</f>
        <v/>
      </c>
      <c r="K67" s="36" t="str">
        <f>IFERROR(__xludf.DUMMYFUNCTION("IFERROR(INDEX(FILTER('棲息地'!$D$2:$D995, ISNUMBER(SEARCH($B67, '棲息地'!$D$2:$D995))), 2), """")"),"")</f>
        <v/>
      </c>
      <c r="L67" s="36" t="str">
        <f>IFERROR(__xludf.DUMMYFUNCTION("IFERROR(INDEX(FILTER('棲息地'!$D$2:$D995, ISNUMBER(SEARCH($B67, '棲息地'!$D$2:$D995))), 3), """")"),"")</f>
        <v/>
      </c>
      <c r="M67" s="36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22.5" customHeight="1">
      <c r="A68" s="33" t="s">
        <v>1294</v>
      </c>
      <c r="B68" s="34" t="s">
        <v>1295</v>
      </c>
      <c r="C68" s="35" t="s">
        <v>1186</v>
      </c>
      <c r="D68" s="34" t="s">
        <v>1080</v>
      </c>
      <c r="E68" s="35" t="s">
        <v>1081</v>
      </c>
      <c r="F68" s="35" t="s">
        <v>1296</v>
      </c>
      <c r="G68" s="35" t="s">
        <v>1095</v>
      </c>
      <c r="H68" s="36" t="str">
        <f>IFERROR(__xludf.DUMMYFUNCTION("IFERROR(INDEX(FILTER('棲息地'!$B$2:$B995 &amp; "" / "" &amp; '棲息地'!$C$2:$C995, ISNUMBER(SEARCH($B68, '棲息地'!$D$2:$D995))), 1), """")"),"岩影的草地 / 綠草 ×4、大石頭 ×1")</f>
        <v>岩影的草地 / 綠草 ×4、大石頭 ×1</v>
      </c>
      <c r="I68" s="36" t="str">
        <f>IFERROR(__xludf.DUMMYFUNCTION("IFERROR(INDEX(FILTER('棲息地'!$D$2:$D995, ISNUMBER(SEARCH($B68, '棲息地'!$D$2:$D995))), 1), """")"),"搬運小匠、鐵骨土人、腕力（空空鎮)")</f>
        <v>搬運小匠、鐵骨土人、腕力（空空鎮)</v>
      </c>
      <c r="J68" s="36" t="str">
        <f>IFERROR(__xludf.DUMMYFUNCTION("IFERROR(INDEX(FILTER('棲息地'!$B$2:$B995 &amp; "" / "" &amp; '棲息地'!$C$2:$C995, ISNUMBER(SEARCH($B68, '棲息地'!$D$2:$D995))), 2), """")"),"載上大行李 / 手推車 ×1、木箱 ×2")</f>
        <v>載上大行李 / 手推車 ×1、木箱 ×2</v>
      </c>
      <c r="K68" s="36" t="str">
        <f>IFERROR(__xludf.DUMMYFUNCTION("IFERROR(INDEX(FILTER('棲息地'!$D$2:$D995, ISNUMBER(SEARCH($B68, '棲息地'!$D$2:$D995))), 2), """")"),"鐵骨土人、小鍛匠（空空鎮)、巧鍛匠（空空鎮)")</f>
        <v>鐵骨土人、小鍛匠（空空鎮)、巧鍛匠（空空鎮)</v>
      </c>
      <c r="L68" s="36" t="str">
        <f>IFERROR(__xludf.DUMMYFUNCTION("IFERROR(INDEX(FILTER('棲息地'!$D$2:$D995, ISNUMBER(SEARCH($B68, '棲息地'!$D$2:$D995))), 3), """")"),"")</f>
        <v/>
      </c>
      <c r="M68" s="36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22.5" customHeight="1">
      <c r="A69" s="33" t="s">
        <v>1297</v>
      </c>
      <c r="B69" s="34" t="s">
        <v>887</v>
      </c>
      <c r="C69" s="35" t="s">
        <v>1298</v>
      </c>
      <c r="D69" s="34" t="s">
        <v>1080</v>
      </c>
      <c r="E69" s="35" t="s">
        <v>1081</v>
      </c>
      <c r="F69" s="35" t="s">
        <v>1299</v>
      </c>
      <c r="G69" s="35" t="s">
        <v>1095</v>
      </c>
      <c r="H69" s="36" t="str">
        <f>IFERROR(__xludf.DUMMYFUNCTION("IFERROR(INDEX(FILTER('棲息地'!$B$2:$B995 &amp; "" / "" &amp; '棲息地'!$C$2:$C995, ISNUMBER(SEARCH($B69, '棲息地'!$D$2:$D995))), 1), """")"),"施工地的發電站 / (施工器材)")</f>
        <v>施工地的發電站 / (施工器材)</v>
      </c>
      <c r="I69" s="36" t="str">
        <f>IFERROR(__xludf.DUMMYFUNCTION("IFERROR(INDEX(FILTER('棲息地'!$D$2:$D995, ISNUMBER(SEARCH($B69, '棲息地'!$D$2:$D995))), 1), """")"),"修建老匠")</f>
        <v>修建老匠</v>
      </c>
      <c r="J69" s="36" t="str">
        <f>IFERROR(__xludf.DUMMYFUNCTION("IFERROR(INDEX(FILTER('棲息地'!$B$2:$B995 &amp; "" / "" &amp; '棲息地'!$C$2:$C995, ISNUMBER(SEARCH($B69, '棲息地'!$D$2:$D995))), 2), """")"),"")</f>
        <v/>
      </c>
      <c r="K69" s="36" t="str">
        <f>IFERROR(__xludf.DUMMYFUNCTION("IFERROR(INDEX(FILTER('棲息地'!$D$2:$D995, ISNUMBER(SEARCH($B69, '棲息地'!$D$2:$D995))), 2), """")"),"")</f>
        <v/>
      </c>
      <c r="L69" s="36" t="str">
        <f>IFERROR(__xludf.DUMMYFUNCTION("IFERROR(INDEX(FILTER('棲息地'!$D$2:$D995, ISNUMBER(SEARCH($B69, '棲息地'!$D$2:$D995))), 3), """")"),"")</f>
        <v/>
      </c>
      <c r="M69" s="36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22.5" customHeight="1">
      <c r="A70" s="33" t="s">
        <v>1300</v>
      </c>
      <c r="B70" s="34" t="s">
        <v>173</v>
      </c>
      <c r="C70" s="35" t="s">
        <v>2</v>
      </c>
      <c r="D70" s="34" t="s">
        <v>1080</v>
      </c>
      <c r="E70" s="35" t="s">
        <v>1093</v>
      </c>
      <c r="F70" s="35" t="s">
        <v>1301</v>
      </c>
      <c r="G70" s="35" t="s">
        <v>1125</v>
      </c>
      <c r="H70" s="36" t="str">
        <f>IFERROR(__xludf.DUMMYFUNCTION("IFERROR(INDEX(FILTER('棲息地'!$B$2:$B995 &amp; "" / "" &amp; '棲息地'!$C$2:$C995, ISNUMBER(SEARCH($B70, '棲息地'!$D$2:$D995))), 1), """")"),"墓前的供品 / 墓碑 ×1、細長蠟燭 ×2、盤子上的食物 ×1")</f>
        <v>墓前的供品 / 墓碑 ×1、細長蠟燭 ×2、盤子上的食物 ×1</v>
      </c>
      <c r="I70" s="36" t="str">
        <f>IFERROR(__xludf.DUMMYFUNCTION("IFERROR(INDEX(FILTER('棲息地'!$D$2:$D995, ISNUMBER(SEARCH($B70, '棲息地'!$D$2:$D995))), 1), """")"),"燭光靈")</f>
        <v>燭光靈</v>
      </c>
      <c r="J70" s="36" t="str">
        <f>IFERROR(__xludf.DUMMYFUNCTION("IFERROR(INDEX(FILTER('棲息地'!$B$2:$B995 &amp; "" / "" &amp; '棲息地'!$C$2:$C995, ISNUMBER(SEARCH($B70, '棲息地'!$D$2:$D995))), 2), """")"),"詭異墓前的供品 / 可疑的蠟燭 ×2、墓碑 ×1、盤子上的食物 ×1")</f>
        <v>詭異墓前的供品 / 可疑的蠟燭 ×2、墓碑 ×1、盤子上的食物 ×1</v>
      </c>
      <c r="K70" s="36" t="str">
        <f>IFERROR(__xludf.DUMMYFUNCTION("IFERROR(INDEX(FILTER('棲息地'!$D$2:$D995, ISNUMBER(SEARCH($B70, '棲息地'!$D$2:$D995))), 2), """")"),"燭光靈、燈火幽靈、水晶燈火靈")</f>
        <v>燭光靈、燈火幽靈、水晶燈火靈</v>
      </c>
      <c r="L70" s="36" t="str">
        <f>IFERROR(__xludf.DUMMYFUNCTION("IFERROR(INDEX(FILTER('棲息地'!$D$2:$D995, ISNUMBER(SEARCH($B70, '棲息地'!$D$2:$D995))), 3), """")"),"")</f>
        <v/>
      </c>
      <c r="M70" s="36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22.5" customHeight="1">
      <c r="A71" s="33" t="s">
        <v>1302</v>
      </c>
      <c r="B71" s="34" t="s">
        <v>1303</v>
      </c>
      <c r="C71" s="35" t="s">
        <v>2</v>
      </c>
      <c r="D71" s="34" t="s">
        <v>1080</v>
      </c>
      <c r="E71" s="35" t="s">
        <v>1093</v>
      </c>
      <c r="F71" s="35" t="s">
        <v>1304</v>
      </c>
      <c r="G71" s="35" t="s">
        <v>1125</v>
      </c>
      <c r="H71" s="36" t="str">
        <f>IFERROR(__xludf.DUMMYFUNCTION("IFERROR(INDEX(FILTER('棲息地'!$B$2:$B995 &amp; "" / "" &amp; '棲息地'!$C$2:$C995, ISNUMBER(SEARCH($B71, '棲息地'!$D$2:$D995))), 1), """")"),"詭異墓前的供品 / 可疑的蠟燭 ×2、墓碑 ×1、盤子上的食物 ×1")</f>
        <v>詭異墓前的供品 / 可疑的蠟燭 ×2、墓碑 ×1、盤子上的食物 ×1</v>
      </c>
      <c r="I71" s="36" t="str">
        <f>IFERROR(__xludf.DUMMYFUNCTION("IFERROR(INDEX(FILTER('棲息地'!$D$2:$D995, ISNUMBER(SEARCH($B71, '棲息地'!$D$2:$D995))), 1), """")"),"燭光靈、燈火幽靈、水晶燈火靈")</f>
        <v>燭光靈、燈火幽靈、水晶燈火靈</v>
      </c>
      <c r="J71" s="36" t="str">
        <f>IFERROR(__xludf.DUMMYFUNCTION("IFERROR(INDEX(FILTER('棲息地'!$B$2:$B995 &amp; "" / "" &amp; '棲息地'!$C$2:$C995, ISNUMBER(SEARCH($B71, '棲息地'!$D$2:$D995))), 2), """")"),"")</f>
        <v/>
      </c>
      <c r="K71" s="36" t="str">
        <f>IFERROR(__xludf.DUMMYFUNCTION("IFERROR(INDEX(FILTER('棲息地'!$D$2:$D995, ISNUMBER(SEARCH($B71, '棲息地'!$D$2:$D995))), 2), """")"),"")</f>
        <v/>
      </c>
      <c r="L71" s="36" t="str">
        <f>IFERROR(__xludf.DUMMYFUNCTION("IFERROR(INDEX(FILTER('棲息地'!$D$2:$D995, ISNUMBER(SEARCH($B71, '棲息地'!$D$2:$D995))), 3), """")"),"")</f>
        <v/>
      </c>
      <c r="M71" s="36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22.5" customHeight="1">
      <c r="A72" s="33" t="s">
        <v>1305</v>
      </c>
      <c r="B72" s="34" t="s">
        <v>1306</v>
      </c>
      <c r="C72" s="35" t="s">
        <v>2</v>
      </c>
      <c r="D72" s="34" t="s">
        <v>1080</v>
      </c>
      <c r="E72" s="35" t="s">
        <v>1093</v>
      </c>
      <c r="F72" s="35" t="s">
        <v>1307</v>
      </c>
      <c r="G72" s="35" t="s">
        <v>1129</v>
      </c>
      <c r="H72" s="36" t="str">
        <f>IFERROR(__xludf.DUMMYFUNCTION("IFERROR(INDEX(FILTER('棲息地'!$B$2:$B995 &amp; "" / "" &amp; '棲息地'!$C$2:$C995, ISNUMBER(SEARCH($B72, '棲息地'!$D$2:$D995))), 1), """")"),"詭異墓前的供品 / 可疑的蠟燭 ×2、墓碑 ×1、盤子上的食物 ×1")</f>
        <v>詭異墓前的供品 / 可疑的蠟燭 ×2、墓碑 ×1、盤子上的食物 ×1</v>
      </c>
      <c r="I72" s="36" t="str">
        <f>IFERROR(__xludf.DUMMYFUNCTION("IFERROR(INDEX(FILTER('棲息地'!$D$2:$D995, ISNUMBER(SEARCH($B72, '棲息地'!$D$2:$D995))), 1), """")"),"燭光靈、燈火幽靈、水晶燈火靈")</f>
        <v>燭光靈、燈火幽靈、水晶燈火靈</v>
      </c>
      <c r="J72" s="36" t="str">
        <f>IFERROR(__xludf.DUMMYFUNCTION("IFERROR(INDEX(FILTER('棲息地'!$B$2:$B995 &amp; "" / "" &amp; '棲息地'!$C$2:$C995, ISNUMBER(SEARCH($B72, '棲息地'!$D$2:$D995))), 2), """")"),"")</f>
        <v/>
      </c>
      <c r="K72" s="36" t="str">
        <f>IFERROR(__xludf.DUMMYFUNCTION("IFERROR(INDEX(FILTER('棲息地'!$D$2:$D995, ISNUMBER(SEARCH($B72, '棲息地'!$D$2:$D995))), 2), """")"),"")</f>
        <v/>
      </c>
      <c r="L72" s="36" t="str">
        <f>IFERROR(__xludf.DUMMYFUNCTION("IFERROR(INDEX(FILTER('棲息地'!$D$2:$D995, ISNUMBER(SEARCH($B72, '棲息地'!$D$2:$D995))), 3), """")"),"")</f>
        <v/>
      </c>
      <c r="M72" s="36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22.5" customHeight="1">
      <c r="A73" s="33" t="s">
        <v>1308</v>
      </c>
      <c r="B73" s="34" t="s">
        <v>1309</v>
      </c>
      <c r="C73" s="35" t="s">
        <v>1215</v>
      </c>
      <c r="D73" s="34" t="s">
        <v>1080</v>
      </c>
      <c r="E73" s="35" t="s">
        <v>1200</v>
      </c>
      <c r="F73" s="35" t="s">
        <v>1310</v>
      </c>
      <c r="G73" s="35" t="s">
        <v>1083</v>
      </c>
      <c r="H73" s="36" t="str">
        <f>IFERROR(__xludf.DUMMYFUNCTION("IFERROR(INDEX(FILTER('棲息地'!$B$2:$B995 &amp; "" / "" &amp; '棲息地'!$C$2:$C995, ISNUMBER(SEARCH($B73, '棲息地'!$D$2:$D995))), 1), """")"),"樵夫的工作區 / 圓木椅 ×1、手推車 ×1、樹樁 ×1、圓木桌 ×1")</f>
        <v>樵夫的工作區 / 圓木椅 ×1、手推車 ×1、樹樁 ×1、圓木桌 ×1</v>
      </c>
      <c r="I73" s="36" t="str">
        <f>IFERROR(__xludf.DUMMYFUNCTION("IFERROR(INDEX(FILTER('棲息地'!$D$2:$D995, ISNUMBER(SEARCH($B73, '棲息地'!$D$2:$D995))), 1), """")"),"牙牙（★）、斧牙龍（★★）、雙斧戰龍（★★★）")</f>
        <v>牙牙（★）、斧牙龍（★★）、雙斧戰龍（★★★）</v>
      </c>
      <c r="J73" s="36" t="str">
        <f>IFERROR(__xludf.DUMMYFUNCTION("IFERROR(INDEX(FILTER('棲息地'!$B$2:$B995 &amp; "" / "" &amp; '棲息地'!$C$2:$C995, ISNUMBER(SEARCH($B73, '棲息地'!$D$2:$D995))), 2), """")"),"圓木的溫馨感 / 圓木椅 ×1、圓木桌 ×1、圓木床 ×1")</f>
        <v>圓木的溫馨感 / 圓木椅 ×1、圓木桌 ×1、圓木床 ×1</v>
      </c>
      <c r="K73" s="36" t="str">
        <f>IFERROR(__xludf.DUMMYFUNCTION("IFERROR(INDEX(FILTER('棲息地'!$D$2:$D995, ISNUMBER(SEARCH($B73, '棲息地'!$D$2:$D995))), 2), """")"),"牙牙（★）、斧牙龍（★★）、雙斧戰龍（★★★）")</f>
        <v>牙牙（★）、斧牙龍（★★）、雙斧戰龍（★★★）</v>
      </c>
      <c r="L73" s="36" t="str">
        <f>IFERROR(__xludf.DUMMYFUNCTION("IFERROR(INDEX(FILTER('棲息地'!$D$2:$D995, ISNUMBER(SEARCH($B73, '棲息地'!$D$2:$D995))), 3), """")"),"")</f>
        <v/>
      </c>
      <c r="M73" s="36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22.5" customHeight="1">
      <c r="A74" s="33" t="s">
        <v>1311</v>
      </c>
      <c r="B74" s="34" t="s">
        <v>1312</v>
      </c>
      <c r="C74" s="35" t="s">
        <v>1215</v>
      </c>
      <c r="D74" s="34" t="s">
        <v>1080</v>
      </c>
      <c r="E74" s="35" t="s">
        <v>1200</v>
      </c>
      <c r="F74" s="35" t="s">
        <v>1313</v>
      </c>
      <c r="G74" s="35" t="s">
        <v>1095</v>
      </c>
      <c r="H74" s="36" t="str">
        <f>IFERROR(__xludf.DUMMYFUNCTION("IFERROR(INDEX(FILTER('棲息地'!$B$2:$B995 &amp; "" / "" &amp; '棲息地'!$C$2:$C995, ISNUMBER(SEARCH($B74, '棲息地'!$D$2:$D995))), 1), """")"),"樵夫的工作區 / 圓木椅 ×1、手推車 ×1、樹樁 ×1、圓木桌 ×1")</f>
        <v>樵夫的工作區 / 圓木椅 ×1、手推車 ×1、樹樁 ×1、圓木桌 ×1</v>
      </c>
      <c r="I74" s="36" t="str">
        <f>IFERROR(__xludf.DUMMYFUNCTION("IFERROR(INDEX(FILTER('棲息地'!$D$2:$D995, ISNUMBER(SEARCH($B74, '棲息地'!$D$2:$D995))), 1), """")"),"牙牙（★）、斧牙龍（★★）、雙斧戰龍（★★★）")</f>
        <v>牙牙（★）、斧牙龍（★★）、雙斧戰龍（★★★）</v>
      </c>
      <c r="J74" s="36" t="str">
        <f>IFERROR(__xludf.DUMMYFUNCTION("IFERROR(INDEX(FILTER('棲息地'!$B$2:$B995 &amp; "" / "" &amp; '棲息地'!$C$2:$C995, ISNUMBER(SEARCH($B74, '棲息地'!$D$2:$D995))), 2), """")"),"圓木的溫馨感 / 圓木椅 ×1、圓木桌 ×1、圓木床 ×1")</f>
        <v>圓木的溫馨感 / 圓木椅 ×1、圓木桌 ×1、圓木床 ×1</v>
      </c>
      <c r="K74" s="36" t="str">
        <f>IFERROR(__xludf.DUMMYFUNCTION("IFERROR(INDEX(FILTER('棲息地'!$D$2:$D995, ISNUMBER(SEARCH($B74, '棲息地'!$D$2:$D995))), 2), """")"),"牙牙（★）、斧牙龍（★★）、雙斧戰龍（★★★）")</f>
        <v>牙牙（★）、斧牙龍（★★）、雙斧戰龍（★★★）</v>
      </c>
      <c r="L74" s="36" t="str">
        <f>IFERROR(__xludf.DUMMYFUNCTION("IFERROR(INDEX(FILTER('棲息地'!$D$2:$D995, ISNUMBER(SEARCH($B74, '棲息地'!$D$2:$D995))), 3), """")"),"")</f>
        <v/>
      </c>
      <c r="M74" s="36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22.5" customHeight="1">
      <c r="A75" s="33" t="s">
        <v>1314</v>
      </c>
      <c r="B75" s="34" t="s">
        <v>1315</v>
      </c>
      <c r="C75" s="35" t="s">
        <v>1316</v>
      </c>
      <c r="D75" s="35" t="s">
        <v>1317</v>
      </c>
      <c r="E75" s="35" t="s">
        <v>1200</v>
      </c>
      <c r="F75" s="35" t="s">
        <v>1313</v>
      </c>
      <c r="G75" s="35" t="s">
        <v>1087</v>
      </c>
      <c r="H75" s="36" t="str">
        <f>IFERROR(__xludf.DUMMYFUNCTION("IFERROR(INDEX(FILTER('棲息地'!$B$2:$B995 &amp; "" / "" &amp; '棲息地'!$C$2:$C995, ISNUMBER(SEARCH($B75, '棲息地'!$D$2:$D995))), 1), """")"),"樵夫的工作區 / 圓木椅 ×1、手推車 ×1、樹樁 ×1、圓木桌 ×1")</f>
        <v>樵夫的工作區 / 圓木椅 ×1、手推車 ×1、樹樁 ×1、圓木桌 ×1</v>
      </c>
      <c r="I75" s="36" t="str">
        <f>IFERROR(__xludf.DUMMYFUNCTION("IFERROR(INDEX(FILTER('棲息地'!$D$2:$D995, ISNUMBER(SEARCH($B75, '棲息地'!$D$2:$D995))), 1), """")"),"牙牙（★）、斧牙龍（★★）、雙斧戰龍（★★★）")</f>
        <v>牙牙（★）、斧牙龍（★★）、雙斧戰龍（★★★）</v>
      </c>
      <c r="J75" s="36" t="str">
        <f>IFERROR(__xludf.DUMMYFUNCTION("IFERROR(INDEX(FILTER('棲息地'!$B$2:$B995 &amp; "" / "" &amp; '棲息地'!$C$2:$C995, ISNUMBER(SEARCH($B75, '棲息地'!$D$2:$D995))), 2), """")"),"圓木的溫馨感 / 圓木椅 ×1、圓木桌 ×1、圓木床 ×1")</f>
        <v>圓木的溫馨感 / 圓木椅 ×1、圓木桌 ×1、圓木床 ×1</v>
      </c>
      <c r="K75" s="36" t="str">
        <f>IFERROR(__xludf.DUMMYFUNCTION("IFERROR(INDEX(FILTER('棲息地'!$D$2:$D995, ISNUMBER(SEARCH($B75, '棲息地'!$D$2:$D995))), 2), """")"),"牙牙（★）、斧牙龍（★★）、雙斧戰龍（★★★）")</f>
        <v>牙牙（★）、斧牙龍（★★）、雙斧戰龍（★★★）</v>
      </c>
      <c r="L75" s="36" t="str">
        <f>IFERROR(__xludf.DUMMYFUNCTION("IFERROR(INDEX(FILTER('棲息地'!$D$2:$D995, ISNUMBER(SEARCH($B75, '棲息地'!$D$2:$D995))), 3), """")"),"")</f>
        <v/>
      </c>
      <c r="M75" s="36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22.5" customHeight="1">
      <c r="A76" s="33" t="s">
        <v>1318</v>
      </c>
      <c r="B76" s="34" t="s">
        <v>218</v>
      </c>
      <c r="C76" s="35" t="s">
        <v>1103</v>
      </c>
      <c r="D76" s="34" t="s">
        <v>1080</v>
      </c>
      <c r="E76" s="35" t="s">
        <v>1103</v>
      </c>
      <c r="F76" s="35" t="s">
        <v>1319</v>
      </c>
      <c r="G76" s="35" t="s">
        <v>1083</v>
      </c>
      <c r="H76" s="36" t="str">
        <f>IFERROR(__xludf.DUMMYFUNCTION("IFERROR(INDEX(FILTER('棲息地'!$B$2:$B995 &amp; "" / "" &amp; '棲息地'!$C$2:$C995, ISNUMBER(SEARCH($B76, '棲息地'!$D$2:$D995))), 1), """")"),"樹蔭的花田 / 原野之花 ×4")</f>
        <v>樹蔭的花田 / 原野之花 ×4</v>
      </c>
      <c r="I76" s="36" t="str">
        <f>IFERROR(__xludf.DUMMYFUNCTION("IFERROR(INDEX(FILTER('棲息地'!$D$2:$D995, ISNUMBER(SEARCH($B76, '棲息地'!$D$2:$D995))), 1), """")"),"黏黏寶、夢歌仙人掌、鍬農炮蟲（空空鎮)")</f>
        <v>黏黏寶、夢歌仙人掌、鍬農炮蟲（空空鎮)</v>
      </c>
      <c r="J76" s="36" t="str">
        <f>IFERROR(__xludf.DUMMYFUNCTION("IFERROR(INDEX(FILTER('棲息地'!$B$2:$B995 &amp; "" / "" &amp; '棲息地'!$C$2:$C995, ISNUMBER(SEARCH($B76, '棲息地'!$D$2:$D995))), 2), """")"),"求雨地點 / 雨天漂浮泡泡娃娃 ×2、盤子上的食物 ×1")</f>
        <v>求雨地點 / 雨天漂浮泡泡娃娃 ×2、盤子上的食物 ×1</v>
      </c>
      <c r="K76" s="36" t="str">
        <f>IFERROR(__xludf.DUMMYFUNCTION("IFERROR(INDEX(FILTER('棲息地'!$D$2:$D995, ISNUMBER(SEARCH($B76, '棲息地'!$D$2:$D995))), 2), """")"),"黏黏寶")</f>
        <v>黏黏寶</v>
      </c>
      <c r="L76" s="36" t="str">
        <f>IFERROR(__xludf.DUMMYFUNCTION("IFERROR(INDEX(FILTER('棲息地'!$D$2:$D995, ISNUMBER(SEARCH($B76, '棲息地'!$D$2:$D995))), 3), """")"),"")</f>
        <v/>
      </c>
      <c r="M76" s="36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22.5" customHeight="1">
      <c r="A77" s="33" t="s">
        <v>1320</v>
      </c>
      <c r="B77" s="34" t="s">
        <v>1321</v>
      </c>
      <c r="C77" s="35" t="s">
        <v>1103</v>
      </c>
      <c r="D77" s="34" t="s">
        <v>1080</v>
      </c>
      <c r="E77" s="35" t="s">
        <v>1103</v>
      </c>
      <c r="F77" s="35" t="s">
        <v>1322</v>
      </c>
      <c r="G77" s="35" t="s">
        <v>1083</v>
      </c>
      <c r="H77" s="36" t="str">
        <f>IFERROR(__xludf.DUMMYFUNCTION("IFERROR(INDEX(FILTER('棲息地'!$B$2:$B995 &amp; "" / "" &amp; '棲息地'!$C$2:$C995, ISNUMBER(SEARCH($B77, '棲息地'!$D$2:$D995))), 1), """")"),"濕潤的草地 / 綠草 ×4、水 ×2")</f>
        <v>濕潤的草地 / 綠草 ×4、水 ×2</v>
      </c>
      <c r="I77" s="36" t="str">
        <f>IFERROR(__xludf.DUMMYFUNCTION("IFERROR(INDEX(FILTER('棲息地'!$D$2:$D995, ISNUMBER(SEARCH($B77, '棲息地'!$D$2:$D995))), 1), """")"),"傑尼龜、卡咪龜、水箭龜、黏美兒、古月鳥（空空鎮)")</f>
        <v>傑尼龜、卡咪龜、水箭龜、黏美兒、古月鳥（空空鎮)</v>
      </c>
      <c r="J77" s="36" t="str">
        <f>IFERROR(__xludf.DUMMYFUNCTION("IFERROR(INDEX(FILTER('棲息地'!$B$2:$B995 &amp; "" / "" &amp; '棲息地'!$C$2:$C995, ISNUMBER(SEARCH($B77, '棲息地'!$D$2:$D995))), 2), """")"),"")</f>
        <v/>
      </c>
      <c r="K77" s="36" t="str">
        <f>IFERROR(__xludf.DUMMYFUNCTION("IFERROR(INDEX(FILTER('棲息地'!$D$2:$D995, ISNUMBER(SEARCH($B77, '棲息地'!$D$2:$D995))), 2), """")"),"")</f>
        <v/>
      </c>
      <c r="L77" s="36" t="str">
        <f>IFERROR(__xludf.DUMMYFUNCTION("IFERROR(INDEX(FILTER('棲息地'!$D$2:$D995, ISNUMBER(SEARCH($B77, '棲息地'!$D$2:$D995))), 3), """")"),"")</f>
        <v/>
      </c>
      <c r="M77" s="36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22.5" customHeight="1">
      <c r="A78" s="33" t="s">
        <v>1323</v>
      </c>
      <c r="B78" s="34" t="s">
        <v>1324</v>
      </c>
      <c r="C78" s="35" t="s">
        <v>1109</v>
      </c>
      <c r="D78" s="34" t="s">
        <v>1080</v>
      </c>
      <c r="E78" s="35" t="s">
        <v>1103</v>
      </c>
      <c r="F78" s="35" t="s">
        <v>1325</v>
      </c>
      <c r="G78" s="35" t="s">
        <v>1087</v>
      </c>
      <c r="H78" s="36" t="str">
        <f>IFERROR(__xludf.DUMMYFUNCTION("IFERROR(INDEX(FILTER('棲息地'!$B$2:$B995 &amp; "" / "" &amp; '棲息地'!$C$2:$C995, ISNUMBER(SEARCH($B78, '棲息地'!$D$2:$D995))), 1), """")"),"樹果大集合 / (樹果籃與相關裝飾)")</f>
        <v>樹果大集合 / (樹果籃與相關裝飾)</v>
      </c>
      <c r="I78" s="36" t="str">
        <f>IFERROR(__xludf.DUMMYFUNCTION("IFERROR(INDEX(FILTER('棲息地'!$D$2:$D995, ISNUMBER(SEARCH($B78, '棲息地'!$D$2:$D995))), 1), """")"),"黏美龍（★★）")</f>
        <v>黏美龍（★★）</v>
      </c>
      <c r="J78" s="36" t="str">
        <f>IFERROR(__xludf.DUMMYFUNCTION("IFERROR(INDEX(FILTER('棲息地'!$B$2:$B995 &amp; "" / "" &amp; '棲息地'!$C$2:$C995, ISNUMBER(SEARCH($B78, '棲息地'!$D$2:$D995))), 2), """")"),"")</f>
        <v/>
      </c>
      <c r="K78" s="36" t="str">
        <f>IFERROR(__xludf.DUMMYFUNCTION("IFERROR(INDEX(FILTER('棲息地'!$D$2:$D995, ISNUMBER(SEARCH($B78, '棲息地'!$D$2:$D995))), 2), """")"),"")</f>
        <v/>
      </c>
      <c r="L78" s="36" t="str">
        <f>IFERROR(__xludf.DUMMYFUNCTION("IFERROR(INDEX(FILTER('棲息地'!$D$2:$D995, ISNUMBER(SEARCH($B78, '棲息地'!$D$2:$D995))), 3), """")"),"")</f>
        <v/>
      </c>
      <c r="M78" s="36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22.5" customHeight="1">
      <c r="A79" s="33" t="s">
        <v>1326</v>
      </c>
      <c r="B79" s="34" t="s">
        <v>1327</v>
      </c>
      <c r="C79" s="35" t="s">
        <v>1328</v>
      </c>
      <c r="D79" s="34" t="s">
        <v>1080</v>
      </c>
      <c r="E79" s="35" t="s">
        <v>1103</v>
      </c>
      <c r="F79" s="35" t="s">
        <v>1329</v>
      </c>
      <c r="G79" s="35" t="s">
        <v>1125</v>
      </c>
      <c r="H79" s="36" t="str">
        <f>IFERROR(__xludf.DUMMYFUNCTION("IFERROR(INDEX(FILTER('棲息地'!$B$2:$B995 &amp; "" / "" &amp; '棲息地'!$C$2:$C995, ISNUMBER(SEARCH($B79, '棲息地'!$D$2:$D995))), 1), """")"),"濕潤的草地 / 綠草 ×4、水 ×2")</f>
        <v>濕潤的草地 / 綠草 ×4、水 ×2</v>
      </c>
      <c r="I79" s="36" t="str">
        <f>IFERROR(__xludf.DUMMYFUNCTION("IFERROR(INDEX(FILTER('棲息地'!$D$2:$D995, ISNUMBER(SEARCH($B79, '棲息地'!$D$2:$D995))), 1), """")"),"傑尼龜、卡咪龜、水箭龜、黏美兒、古月鳥（空空鎮)")</f>
        <v>傑尼龜、卡咪龜、水箭龜、黏美兒、古月鳥（空空鎮)</v>
      </c>
      <c r="J79" s="36" t="str">
        <f>IFERROR(__xludf.DUMMYFUNCTION("IFERROR(INDEX(FILTER('棲息地'!$B$2:$B995 &amp; "" / "" &amp; '棲息地'!$C$2:$C995, ISNUMBER(SEARCH($B79, '棲息地'!$D$2:$D995))), 2), """")"),"")</f>
        <v/>
      </c>
      <c r="K79" s="36" t="str">
        <f>IFERROR(__xludf.DUMMYFUNCTION("IFERROR(INDEX(FILTER('棲息地'!$D$2:$D995, ISNUMBER(SEARCH($B79, '棲息地'!$D$2:$D995))), 2), """")"),"")</f>
        <v/>
      </c>
      <c r="L79" s="36" t="str">
        <f>IFERROR(__xludf.DUMMYFUNCTION("IFERROR(INDEX(FILTER('棲息地'!$D$2:$D995, ISNUMBER(SEARCH($B79, '棲息地'!$D$2:$D995))), 3), """")"),"")</f>
        <v/>
      </c>
      <c r="M79" s="36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22.5" customHeight="1">
      <c r="A80" s="33" t="s">
        <v>1330</v>
      </c>
      <c r="B80" s="34" t="s">
        <v>1331</v>
      </c>
      <c r="C80" s="35" t="s">
        <v>1169</v>
      </c>
      <c r="D80" s="34" t="s">
        <v>1080</v>
      </c>
      <c r="E80" s="35" t="s">
        <v>1081</v>
      </c>
      <c r="F80" s="35" t="s">
        <v>1332</v>
      </c>
      <c r="G80" s="35" t="s">
        <v>1083</v>
      </c>
      <c r="H80" s="36" t="str">
        <f>IFERROR(__xludf.DUMMYFUNCTION("IFERROR(INDEX(FILTER('棲息地'!$B$2:$B995 &amp; "" / "" &amp; '棲息地'!$C$2:$C995, ISNUMBER(SEARCH($B80, '棲息地'!$D$2:$D995))), 1), """")"),"野餐風餐桌 / 椅子(任意) ×2、桌子(任意) ×1、籃子 ×1")</f>
        <v>野餐風餐桌 / 椅子(任意) ×2、桌子(任意) ×1、籃子 ×1</v>
      </c>
      <c r="I80" s="36" t="str">
        <f>IFERROR(__xludf.DUMMYFUNCTION("IFERROR(INDEX(FILTER('棲息地'!$D$2:$D995, ISNUMBER(SEARCH($B80, '棲息地'!$D$2:$D995))), 1), """")"),"皮丘(乾巴巴荒野)、皮卡丘（空空鎮)")</f>
        <v>皮丘(乾巴巴荒野)、皮卡丘（空空鎮)</v>
      </c>
      <c r="J80" s="36" t="str">
        <f>IFERROR(__xludf.DUMMYFUNCTION("IFERROR(INDEX(FILTER('棲息地'!$B$2:$B995 &amp; "" / "" &amp; '棲息地'!$C$2:$C995, ISNUMBER(SEARCH($B80, '棲息地'!$D$2:$D995))), 2), """")"),"")</f>
        <v/>
      </c>
      <c r="K80" s="36" t="str">
        <f>IFERROR(__xludf.DUMMYFUNCTION("IFERROR(INDEX(FILTER('棲息地'!$D$2:$D995, ISNUMBER(SEARCH($B80, '棲息地'!$D$2:$D995))), 2), """")"),"")</f>
        <v/>
      </c>
      <c r="L80" s="36" t="str">
        <f>IFERROR(__xludf.DUMMYFUNCTION("IFERROR(INDEX(FILTER('棲息地'!$D$2:$D995, ISNUMBER(SEARCH($B80, '棲息地'!$D$2:$D995))), 3), """")"),"")</f>
        <v/>
      </c>
      <c r="M80" s="36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22.5" customHeight="1">
      <c r="A81" s="33" t="s">
        <v>1333</v>
      </c>
      <c r="B81" s="35" t="s">
        <v>1334</v>
      </c>
      <c r="C81" s="35" t="s">
        <v>1335</v>
      </c>
      <c r="D81" s="34" t="s">
        <v>1080</v>
      </c>
      <c r="E81" s="35" t="s">
        <v>1081</v>
      </c>
      <c r="F81" s="35" t="s">
        <v>1336</v>
      </c>
      <c r="G81" s="35" t="s">
        <v>1083</v>
      </c>
      <c r="H81" s="36" t="str">
        <f>IFERROR(__xludf.DUMMYFUNCTION("IFERROR(INDEX(FILTER('棲息地'!$B$2:$B995 &amp; "" / "" &amp; '棲息地'!$C$2:$C995, ISNUMBER(SEARCH($B81, '棲息地'!$D$2:$D995))), 1), """")"),"痊癒前好好休息 / 床鋪 ×1、急救箱 ×1、自然風櫃子 ×1")</f>
        <v>痊癒前好好休息 / 床鋪 ×1、急救箱 ×1、自然風櫃子 ×1</v>
      </c>
      <c r="I81" s="36" t="str">
        <f>IFERROR(__xludf.DUMMYFUNCTION("IFERROR(INDEX(FILTER('棲息地'!$D$2:$D995, ISNUMBER(SEARCH($B81, '棲息地'!$D$2:$D995))), 1), """")"),"淺淺丘（★★）、吉利蛋（★）")</f>
        <v>淺淺丘（★★）、吉利蛋（★）</v>
      </c>
      <c r="J81" s="36" t="str">
        <f>IFERROR(__xludf.DUMMYFUNCTION("IFERROR(INDEX(FILTER('棲息地'!$B$2:$B995 &amp; "" / "" &amp; '棲息地'!$C$2:$C995, ISNUMBER(SEARCH($B81, '棲息地'!$D$2:$D995))), 2), """")"),"")</f>
        <v/>
      </c>
      <c r="K81" s="36" t="str">
        <f>IFERROR(__xludf.DUMMYFUNCTION("IFERROR(INDEX(FILTER('棲息地'!$D$2:$D995, ISNUMBER(SEARCH($B81, '棲息地'!$D$2:$D995))), 2), """")"),"")</f>
        <v/>
      </c>
      <c r="L81" s="36" t="str">
        <f>IFERROR(__xludf.DUMMYFUNCTION("IFERROR(INDEX(FILTER('棲息地'!$D$2:$D995, ISNUMBER(SEARCH($B81, '棲息地'!$D$2:$D995))), 3), """")"),"")</f>
        <v/>
      </c>
      <c r="M81" s="36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22.5" customHeight="1">
      <c r="A82" s="33" t="s">
        <v>1333</v>
      </c>
      <c r="B82" s="34" t="s">
        <v>1337</v>
      </c>
      <c r="C82" s="35" t="s">
        <v>1169</v>
      </c>
      <c r="D82" s="34" t="s">
        <v>1080</v>
      </c>
      <c r="E82" s="35" t="s">
        <v>1081</v>
      </c>
      <c r="F82" s="35" t="s">
        <v>1338</v>
      </c>
      <c r="G82" s="35" t="s">
        <v>1087</v>
      </c>
      <c r="H82" s="36" t="str">
        <f>IFERROR(__xludf.DUMMYFUNCTION("IFERROR(INDEX(FILTER('棲息地'!$B$2:$B995 &amp; "" / "" &amp; '棲息地'!$C$2:$C995, ISNUMBER(SEARCH($B82, '棲息地'!$D$2:$D995))), 1), """")"),"野餐風餐桌 / 椅子(任意) ×2、桌子(任意) ×1、籃子 ×1")</f>
        <v>野餐風餐桌 / 椅子(任意) ×2、桌子(任意) ×1、籃子 ×1</v>
      </c>
      <c r="I82" s="36" t="str">
        <f>IFERROR(__xludf.DUMMYFUNCTION("IFERROR(INDEX(FILTER('棲息地'!$D$2:$D995, ISNUMBER(SEARCH($B82, '棲息地'!$D$2:$D995))), 1), """")"),"皮丘(乾巴巴荒野)、皮卡丘（空空鎮)")</f>
        <v>皮丘(乾巴巴荒野)、皮卡丘（空空鎮)</v>
      </c>
      <c r="J82" s="36" t="str">
        <f>IFERROR(__xludf.DUMMYFUNCTION("IFERROR(INDEX(FILTER('棲息地'!$B$2:$B995 &amp; "" / "" &amp; '棲息地'!$C$2:$C995, ISNUMBER(SEARCH($B82, '棲息地'!$D$2:$D995))), 2), """")"),"")</f>
        <v/>
      </c>
      <c r="K82" s="36" t="str">
        <f>IFERROR(__xludf.DUMMYFUNCTION("IFERROR(INDEX(FILTER('棲息地'!$D$2:$D995, ISNUMBER(SEARCH($B82, '棲息地'!$D$2:$D995))), 2), """")"),"")</f>
        <v/>
      </c>
      <c r="L82" s="36" t="str">
        <f>IFERROR(__xludf.DUMMYFUNCTION("IFERROR(INDEX(FILTER('棲息地'!$D$2:$D995, ISNUMBER(SEARCH($B82, '棲息地'!$D$2:$D995))), 3), """")"),"")</f>
        <v/>
      </c>
      <c r="M82" s="36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22.5" customHeight="1">
      <c r="A83" s="33" t="s">
        <v>1339</v>
      </c>
      <c r="B83" s="34" t="s">
        <v>882</v>
      </c>
      <c r="C83" s="35" t="s">
        <v>1340</v>
      </c>
      <c r="D83" s="34" t="s">
        <v>1080</v>
      </c>
      <c r="E83" s="35" t="s">
        <v>1081</v>
      </c>
      <c r="F83" s="35" t="s">
        <v>1341</v>
      </c>
      <c r="G83" s="36" t="s">
        <v>1342</v>
      </c>
      <c r="H83" s="36" t="str">
        <f>IFERROR(__xludf.DUMMYFUNCTION("IFERROR(INDEX(FILTER('棲息地'!$B$2:$B995 &amp; "" / "" &amp; '棲息地'!$C$2:$C995, ISNUMBER(SEARCH($B83, '棲息地'!$D$2:$D995))), 1), """")"),"大自然的市場 / 大樹 ×1、大石頭 ×1、桌子 ×2")</f>
        <v>大自然的市場 / 大樹 ×1、大石頭 ×1、桌子 ×2</v>
      </c>
      <c r="I83" s="36" t="str">
        <f>IFERROR(__xludf.DUMMYFUNCTION("IFERROR(INDEX(FILTER('棲息地'!$D$2:$D995, ISNUMBER(SEARCH($B83, '棲息地'!$D$2:$D995))), 1), """")"),"雷丘")</f>
        <v>雷丘</v>
      </c>
      <c r="J83" s="36" t="str">
        <f>IFERROR(__xludf.DUMMYFUNCTION("IFERROR(INDEX(FILTER('棲息地'!$B$2:$B995 &amp; "" / "" &amp; '棲息地'!$C$2:$C995, ISNUMBER(SEARCH($B83, '棲息地'!$D$2:$D995))), 2), """")"),"")</f>
        <v/>
      </c>
      <c r="K83" s="36" t="str">
        <f>IFERROR(__xludf.DUMMYFUNCTION("IFERROR(INDEX(FILTER('棲息地'!$D$2:$D995, ISNUMBER(SEARCH($B83, '棲息地'!$D$2:$D995))), 2), """")"),"")</f>
        <v/>
      </c>
      <c r="L83" s="36" t="str">
        <f>IFERROR(__xludf.DUMMYFUNCTION("IFERROR(INDEX(FILTER('棲息地'!$D$2:$D995, ISNUMBER(SEARCH($B83, '棲息地'!$D$2:$D995))), 3), """")"),"")</f>
        <v/>
      </c>
      <c r="M83" s="36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22.5" customHeight="1">
      <c r="A84" s="33" t="s">
        <v>1343</v>
      </c>
      <c r="B84" s="34" t="s">
        <v>1344</v>
      </c>
      <c r="C84" s="35" t="s">
        <v>1139</v>
      </c>
      <c r="D84" s="34" t="s">
        <v>1080</v>
      </c>
      <c r="E84" s="35" t="s">
        <v>1200</v>
      </c>
      <c r="F84" s="35" t="s">
        <v>1345</v>
      </c>
      <c r="G84" s="35" t="s">
        <v>1095</v>
      </c>
      <c r="H84" s="36" t="str">
        <f>IFERROR(__xludf.DUMMYFUNCTION("IFERROR(INDEX(FILTER('棲息地'!$B$2:$B995 &amp; "" / "" &amp; '棲息地'!$C$2:$C995, ISNUMBER(SEARCH($B84, '棲息地'!$D$2:$D995))), 1), """")"),"樹蔭的黃色草叢 / 大樹 ×1、黃草 ×4")</f>
        <v>樹蔭的黃色草叢 / 大樹 ×1、黃草 ×4</v>
      </c>
      <c r="I84" s="36" t="str">
        <f>IFERROR(__xludf.DUMMYFUNCTION("IFERROR(INDEX(FILTER('棲息地'!$D$2:$D995, ISNUMBER(SEARCH($B84, '棲息地'!$D$2:$D995))), 1), """")"),"幕下力士、超音蝠、大嘴蝠、鐵掌力士")</f>
        <v>幕下力士、超音蝠、大嘴蝠、鐵掌力士</v>
      </c>
      <c r="J84" s="36" t="str">
        <f>IFERROR(__xludf.DUMMYFUNCTION("IFERROR(INDEX(FILTER('棲息地'!$B$2:$B995 &amp; "" / "" &amp; '棲息地'!$C$2:$C995, ISNUMBER(SEARCH($B84, '棲息地'!$D$2:$D995))), 2), """")"),"")</f>
        <v/>
      </c>
      <c r="K84" s="36" t="str">
        <f>IFERROR(__xludf.DUMMYFUNCTION("IFERROR(INDEX(FILTER('棲息地'!$D$2:$D995, ISNUMBER(SEARCH($B84, '棲息地'!$D$2:$D995))), 2), """")"),"")</f>
        <v/>
      </c>
      <c r="L84" s="36" t="str">
        <f>IFERROR(__xludf.DUMMYFUNCTION("IFERROR(INDEX(FILTER('棲息地'!$D$2:$D995, ISNUMBER(SEARCH($B84, '棲息地'!$D$2:$D995))), 3), """")"),"")</f>
        <v/>
      </c>
      <c r="M84" s="36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22.5" customHeight="1">
      <c r="A85" s="33" t="s">
        <v>1346</v>
      </c>
      <c r="B85" s="34" t="s">
        <v>1347</v>
      </c>
      <c r="C85" s="35" t="s">
        <v>1139</v>
      </c>
      <c r="D85" s="34" t="s">
        <v>1080</v>
      </c>
      <c r="E85" s="35" t="s">
        <v>1200</v>
      </c>
      <c r="F85" s="35" t="s">
        <v>1345</v>
      </c>
      <c r="G85" s="35" t="s">
        <v>1095</v>
      </c>
      <c r="H85" s="36" t="str">
        <f>IFERROR(__xludf.DUMMYFUNCTION("IFERROR(INDEX(FILTER('棲息地'!$B$2:$B995 &amp; "" / "" &amp; '棲息地'!$C$2:$C995, ISNUMBER(SEARCH($B85, '棲息地'!$D$2:$D995))), 1), """")"),"樹蔭的黃色草叢 / 大樹 ×1、黃草 ×4")</f>
        <v>樹蔭的黃色草叢 / 大樹 ×1、黃草 ×4</v>
      </c>
      <c r="I85" s="36" t="str">
        <f>IFERROR(__xludf.DUMMYFUNCTION("IFERROR(INDEX(FILTER('棲息地'!$D$2:$D995, ISNUMBER(SEARCH($B85, '棲息地'!$D$2:$D995))), 1), """")"),"幕下力士、超音蝠、大嘴蝠、鐵掌力士")</f>
        <v>幕下力士、超音蝠、大嘴蝠、鐵掌力士</v>
      </c>
      <c r="J85" s="36" t="str">
        <f>IFERROR(__xludf.DUMMYFUNCTION("IFERROR(INDEX(FILTER('棲息地'!$B$2:$B995 &amp; "" / "" &amp; '棲息地'!$C$2:$C995, ISNUMBER(SEARCH($B85, '棲息地'!$D$2:$D995))), 2), """")"),"")</f>
        <v/>
      </c>
      <c r="K85" s="36" t="str">
        <f>IFERROR(__xludf.DUMMYFUNCTION("IFERROR(INDEX(FILTER('棲息地'!$D$2:$D995, ISNUMBER(SEARCH($B85, '棲息地'!$D$2:$D995))), 2), """")"),"")</f>
        <v/>
      </c>
      <c r="L85" s="36" t="str">
        <f>IFERROR(__xludf.DUMMYFUNCTION("IFERROR(INDEX(FILTER('棲息地'!$D$2:$D995, ISNUMBER(SEARCH($B85, '棲息地'!$D$2:$D995))), 3), """")"),"")</f>
        <v/>
      </c>
      <c r="M85" s="36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22.5" customHeight="1">
      <c r="A86" s="33" t="s">
        <v>1348</v>
      </c>
      <c r="B86" s="34" t="s">
        <v>333</v>
      </c>
      <c r="C86" s="35" t="s">
        <v>1289</v>
      </c>
      <c r="D86" s="34" t="s">
        <v>1080</v>
      </c>
      <c r="E86" s="35" t="s">
        <v>1200</v>
      </c>
      <c r="F86" s="35" t="s">
        <v>1349</v>
      </c>
      <c r="G86" s="35" t="s">
        <v>1129</v>
      </c>
      <c r="H86" s="36" t="str">
        <f>IFERROR(__xludf.DUMMYFUNCTION("IFERROR(INDEX(FILTER('棲息地'!$B$2:$B995 &amp; "" / "" &amp; '棲息地'!$C$2:$C995, ISNUMBER(SEARCH($B86, '棲息地'!$D$2:$D995))), 1), """")"),"垃圾場 / 垃圾袋 ×1")</f>
        <v>垃圾場 / 垃圾袋 ×1</v>
      </c>
      <c r="I86" s="36" t="str">
        <f>IFERROR(__xludf.DUMMYFUNCTION("IFERROR(INDEX(FILTER('棲息地'!$D$2:$D995, ISNUMBER(SEARCH($B86, '棲息地'!$D$2:$D995))), 1), """")"),"叉字蝠")</f>
        <v>叉字蝠</v>
      </c>
      <c r="J86" s="36" t="str">
        <f>IFERROR(__xludf.DUMMYFUNCTION("IFERROR(INDEX(FILTER('棲息地'!$B$2:$B995 &amp; "" / "" &amp; '棲息地'!$C$2:$C995, ISNUMBER(SEARCH($B86, '棲息地'!$D$2:$D995))), 2), """")"),"")</f>
        <v/>
      </c>
      <c r="K86" s="36" t="str">
        <f>IFERROR(__xludf.DUMMYFUNCTION("IFERROR(INDEX(FILTER('棲息地'!$D$2:$D995, ISNUMBER(SEARCH($B86, '棲息地'!$D$2:$D995))), 2), """")"),"")</f>
        <v/>
      </c>
      <c r="L86" s="36" t="str">
        <f>IFERROR(__xludf.DUMMYFUNCTION("IFERROR(INDEX(FILTER('棲息地'!$D$2:$D995, ISNUMBER(SEARCH($B86, '棲息地'!$D$2:$D995))), 3), """")"),"")</f>
        <v/>
      </c>
      <c r="M86" s="36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22.5" customHeight="1">
      <c r="A87" s="33" t="s">
        <v>1350</v>
      </c>
      <c r="B87" s="34" t="s">
        <v>313</v>
      </c>
      <c r="C87" s="35" t="s">
        <v>1192</v>
      </c>
      <c r="D87" s="34" t="s">
        <v>1080</v>
      </c>
      <c r="E87" s="35" t="s">
        <v>1351</v>
      </c>
      <c r="F87" s="35" t="s">
        <v>1352</v>
      </c>
      <c r="G87" s="35" t="s">
        <v>1095</v>
      </c>
      <c r="H87" s="36" t="str">
        <f>IFERROR(__xludf.DUMMYFUNCTION("IFERROR(INDEX(FILTER('棲息地'!$B$2:$B995 &amp; "" / "" &amp; '棲息地'!$C$2:$C995, ISNUMBER(SEARCH($B87, '棲息地'!$D$2:$D995))), 1), """")"),"休息好地方 / 紙箱 ×1、乾草床 ×1")</f>
        <v>休息好地方 / 紙箱 ×1、乾草床 ×1</v>
      </c>
      <c r="I87" s="36" t="str">
        <f>IFERROR(__xludf.DUMMYFUNCTION("IFERROR(INDEX(FILTER('棲息地'!$D$2:$D995, ISNUMBER(SEARCH($B87, '棲息地'!$D$2:$D995))), 1), """")"),"喵喵")</f>
        <v>喵喵</v>
      </c>
      <c r="J87" s="36" t="str">
        <f>IFERROR(__xludf.DUMMYFUNCTION("IFERROR(INDEX(FILTER('棲息地'!$B$2:$B995 &amp; "" / "" &amp; '棲息地'!$C$2:$C995, ISNUMBER(SEARCH($B87, '棲息地'!$D$2:$D995))), 2), """")"),"到收銀檯結帳 / 桌子 ×2")</f>
        <v>到收銀檯結帳 / 桌子 ×2</v>
      </c>
      <c r="K87" s="36" t="str">
        <f>IFERROR(__xludf.DUMMYFUNCTION("IFERROR(INDEX(FILTER('棲息地'!$D$2:$D995, ISNUMBER(SEARCH($B87, '棲息地'!$D$2:$D995))), 2), """")"),"喵喵、小福蛋、差不多娃娃、大嘴娃（空空鎮)")</f>
        <v>喵喵、小福蛋、差不多娃娃、大嘴娃（空空鎮)</v>
      </c>
      <c r="L87" s="36" t="str">
        <f>IFERROR(__xludf.DUMMYFUNCTION("IFERROR(INDEX(FILTER('棲息地'!$D$2:$D995, ISNUMBER(SEARCH($B87, '棲息地'!$D$2:$D995))), 3), """")"),"")</f>
        <v/>
      </c>
      <c r="M87" s="36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22.5" customHeight="1">
      <c r="A88" s="33" t="s">
        <v>1353</v>
      </c>
      <c r="B88" s="34" t="s">
        <v>897</v>
      </c>
      <c r="C88" s="35" t="s">
        <v>1354</v>
      </c>
      <c r="D88" s="34" t="s">
        <v>1080</v>
      </c>
      <c r="E88" s="35" t="s">
        <v>1351</v>
      </c>
      <c r="F88" s="35" t="s">
        <v>1355</v>
      </c>
      <c r="G88" s="35" t="s">
        <v>1087</v>
      </c>
      <c r="H88" s="36" t="str">
        <f>IFERROR(__xludf.DUMMYFUNCTION("IFERROR(INDEX(FILTER('棲息地'!$B$2:$B995 &amp; "" / "" &amp; '棲息地'!$C$2:$C995, ISNUMBER(SEARCH($B88, '棲息地'!$D$2:$D995))), 1), """")"),"邪惡組織的秘密基地 / (反派旗幟/電腦)")</f>
        <v>邪惡組織的秘密基地 / (反派旗幟/電腦)</v>
      </c>
      <c r="I88" s="36" t="str">
        <f>IFERROR(__xludf.DUMMYFUNCTION("IFERROR(INDEX(FILTER('棲息地'!$D$2:$D995, ISNUMBER(SEARCH($B88, '棲息地'!$D$2:$D995))), 1), """")"),"貓老大")</f>
        <v>貓老大</v>
      </c>
      <c r="J88" s="36" t="str">
        <f>IFERROR(__xludf.DUMMYFUNCTION("IFERROR(INDEX(FILTER('棲息地'!$B$2:$B995 &amp; "" / "" &amp; '棲息地'!$C$2:$C995, ISNUMBER(SEARCH($B88, '棲息地'!$D$2:$D995))), 2), """")"),"")</f>
        <v/>
      </c>
      <c r="K88" s="36" t="str">
        <f>IFERROR(__xludf.DUMMYFUNCTION("IFERROR(INDEX(FILTER('棲息地'!$D$2:$D995, ISNUMBER(SEARCH($B88, '棲息地'!$D$2:$D995))), 2), """")"),"")</f>
        <v/>
      </c>
      <c r="L88" s="36" t="str">
        <f>IFERROR(__xludf.DUMMYFUNCTION("IFERROR(INDEX(FILTER('棲息地'!$D$2:$D995, ISNUMBER(SEARCH($B88, '棲息地'!$D$2:$D995))), 3), """")"),"")</f>
        <v/>
      </c>
      <c r="M88" s="36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22.5" customHeight="1">
      <c r="A89" s="33" t="s">
        <v>1356</v>
      </c>
      <c r="B89" s="34" t="s">
        <v>1357</v>
      </c>
      <c r="C89" s="35" t="s">
        <v>1139</v>
      </c>
      <c r="D89" s="34" t="s">
        <v>1080</v>
      </c>
      <c r="E89" s="35" t="s">
        <v>1103</v>
      </c>
      <c r="F89" s="35" t="s">
        <v>1358</v>
      </c>
      <c r="G89" s="35" t="s">
        <v>1129</v>
      </c>
      <c r="H89" s="36" t="str">
        <f>IFERROR(__xludf.DUMMYFUNCTION("IFERROR(INDEX(FILTER('棲息地'!$B$2:$B995 &amp; "" / "" &amp; '棲息地'!$C$2:$C995, ISNUMBER(SEARCH($B89, '棲息地'!$D$2:$D995))), 1), """")"),"溫泉沖洗區 / 椅子 ×1")</f>
        <v>溫泉沖洗區 / 椅子 ×1</v>
      </c>
      <c r="I89" s="36" t="str">
        <f>IFERROR(__xludf.DUMMYFUNCTION("IFERROR(INDEX(FILTER('棲息地'!$D$2:$D995, ISNUMBER(SEARCH($B89, '棲息地'!$D$2:$D995))), 1), """")"),"可達鴨、哥達鴨")</f>
        <v>可達鴨、哥達鴨</v>
      </c>
      <c r="J89" s="36" t="str">
        <f>IFERROR(__xludf.DUMMYFUNCTION("IFERROR(INDEX(FILTER('棲息地'!$B$2:$B995 &amp; "" / "" &amp; '棲息地'!$C$2:$C995, ISNUMBER(SEARCH($B89, '棲息地'!$D$2:$D995))), 2), """")"),"")</f>
        <v/>
      </c>
      <c r="K89" s="36" t="str">
        <f>IFERROR(__xludf.DUMMYFUNCTION("IFERROR(INDEX(FILTER('棲息地'!$D$2:$D995, ISNUMBER(SEARCH($B89, '棲息地'!$D$2:$D995))), 2), """")"),"")</f>
        <v/>
      </c>
      <c r="L89" s="36" t="str">
        <f>IFERROR(__xludf.DUMMYFUNCTION("IFERROR(INDEX(FILTER('棲息地'!$D$2:$D995, ISNUMBER(SEARCH($B89, '棲息地'!$D$2:$D995))), 3), """")"),"")</f>
        <v/>
      </c>
      <c r="M89" s="36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22.5" customHeight="1">
      <c r="A90" s="33" t="s">
        <v>1359</v>
      </c>
      <c r="B90" s="34" t="s">
        <v>1360</v>
      </c>
      <c r="C90" s="35" t="s">
        <v>1139</v>
      </c>
      <c r="D90" s="34" t="s">
        <v>1080</v>
      </c>
      <c r="E90" s="35" t="s">
        <v>1103</v>
      </c>
      <c r="F90" s="35" t="s">
        <v>1361</v>
      </c>
      <c r="G90" s="35" t="s">
        <v>1129</v>
      </c>
      <c r="H90" s="36" t="str">
        <f>IFERROR(__xludf.DUMMYFUNCTION("IFERROR(INDEX(FILTER('棲息地'!$B$2:$B995 &amp; "" / "" &amp; '棲息地'!$C$2:$C995, ISNUMBER(SEARCH($B90, '棲息地'!$D$2:$D995))), 1), """")"),"溫泉沖洗區 / 椅子 ×1")</f>
        <v>溫泉沖洗區 / 椅子 ×1</v>
      </c>
      <c r="I90" s="36" t="str">
        <f>IFERROR(__xludf.DUMMYFUNCTION("IFERROR(INDEX(FILTER('棲息地'!$D$2:$D995, ISNUMBER(SEARCH($B90, '棲息地'!$D$2:$D995))), 1), """")"),"可達鴨、哥達鴨")</f>
        <v>可達鴨、哥達鴨</v>
      </c>
      <c r="J90" s="36" t="str">
        <f>IFERROR(__xludf.DUMMYFUNCTION("IFERROR(INDEX(FILTER('棲息地'!$B$2:$B995 &amp; "" / "" &amp; '棲息地'!$C$2:$C995, ISNUMBER(SEARCH($B90, '棲息地'!$D$2:$D995))), 2), """")"),"")</f>
        <v/>
      </c>
      <c r="K90" s="36" t="str">
        <f>IFERROR(__xludf.DUMMYFUNCTION("IFERROR(INDEX(FILTER('棲息地'!$D$2:$D995, ISNUMBER(SEARCH($B90, '棲息地'!$D$2:$D995))), 2), """")"),"")</f>
        <v/>
      </c>
      <c r="L90" s="36" t="str">
        <f>IFERROR(__xludf.DUMMYFUNCTION("IFERROR(INDEX(FILTER('棲息地'!$D$2:$D995, ISNUMBER(SEARCH($B90, '棲息地'!$D$2:$D995))), 3), """")"),"")</f>
        <v/>
      </c>
      <c r="M90" s="36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22.5" customHeight="1">
      <c r="A91" s="33" t="s">
        <v>1362</v>
      </c>
      <c r="B91" s="34" t="s">
        <v>318</v>
      </c>
      <c r="C91" s="35" t="s">
        <v>1363</v>
      </c>
      <c r="D91" s="34" t="s">
        <v>1080</v>
      </c>
      <c r="E91" s="35" t="s">
        <v>1093</v>
      </c>
      <c r="F91" s="35" t="s">
        <v>1364</v>
      </c>
      <c r="G91" s="35" t="s">
        <v>1083</v>
      </c>
      <c r="H91" s="36" t="str">
        <f>IFERROR(__xludf.DUMMYFUNCTION("IFERROR(INDEX(FILTER('棲息地'!$B$2:$B995 &amp; "" / "" &amp; '棲息地'!$C$2:$C995, ISNUMBER(SEARCH($B91, '棲息地'!$D$2:$D995))), 1), """")"),"來收拾吧 / 紙箱 ×1、玩具(任意) ×2")</f>
        <v>來收拾吧 / 紙箱 ×1、玩具(任意) ×2</v>
      </c>
      <c r="I91" s="36" t="str">
        <f>IFERROR(__xludf.DUMMYFUNCTION("IFERROR(INDEX(FILTER('棲息地'!$D$2:$D995, ISNUMBER(SEARCH($B91, '棲息地'!$D$2:$D995))), 1), """")"),"卡蒂狗")</f>
        <v>卡蒂狗</v>
      </c>
      <c r="J91" s="36" t="str">
        <f>IFERROR(__xludf.DUMMYFUNCTION("IFERROR(INDEX(FILTER('棲息地'!$B$2:$B995 &amp; "" / "" &amp; '棲息地'!$C$2:$C995, ISNUMBER(SEARCH($B91, '棲息地'!$D$2:$D995))), 2), """")"),"度假區的備餐時刻 / 椰子樹 ×1、椅子 ×1、盤子食物 ×1、營火 ×1")</f>
        <v>度假區的備餐時刻 / 椰子樹 ×1、椅子 ×1、盤子食物 ×1、營火 ×1</v>
      </c>
      <c r="K91" s="36" t="str">
        <f>IFERROR(__xludf.DUMMYFUNCTION("IFERROR(INDEX(FILTER('棲息地'!$D$2:$D995, ISNUMBER(SEARCH($B91, '棲息地'!$D$2:$D995))), 2), """")"),"火雉雞、卡蒂狗")</f>
        <v>火雉雞、卡蒂狗</v>
      </c>
      <c r="L91" s="36" t="str">
        <f>IFERROR(__xludf.DUMMYFUNCTION("IFERROR(INDEX(FILTER('棲息地'!$D$2:$D995, ISNUMBER(SEARCH($B91, '棲息地'!$D$2:$D995))), 3), """")"),"")</f>
        <v/>
      </c>
      <c r="M91" s="36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22.5" customHeight="1">
      <c r="A92" s="33" t="s">
        <v>1365</v>
      </c>
      <c r="B92" s="34" t="s">
        <v>1366</v>
      </c>
      <c r="C92" s="35" t="s">
        <v>1363</v>
      </c>
      <c r="D92" s="34" t="s">
        <v>1080</v>
      </c>
      <c r="E92" s="35" t="s">
        <v>1093</v>
      </c>
      <c r="F92" s="35" t="s">
        <v>1367</v>
      </c>
      <c r="G92" s="35" t="s">
        <v>1095</v>
      </c>
      <c r="H92" s="36" t="str">
        <f>IFERROR(__xludf.DUMMYFUNCTION("IFERROR(INDEX(FILTER('棲息地'!$B$2:$B995 &amp; "" / "" &amp; '棲息地'!$C$2:$C995, ISNUMBER(SEARCH($B92, '棲息地'!$D$2:$D995))), 1), """")"),"小小博物館 / 隔板 ×3、台座 ×1、遺失物(大) ×1")</f>
        <v>小小博物館 / 隔板 ×3、台座 ×1、遺失物(大) ×1</v>
      </c>
      <c r="I92" s="36" t="str">
        <f>IFERROR(__xludf.DUMMYFUNCTION("IFERROR(INDEX(FILTER('棲息地'!$D$2:$D995, ISNUMBER(SEARCH($B92, '棲息地'!$D$2:$D995))), 1), """")"),"索財靈、風速狗")</f>
        <v>索財靈、風速狗</v>
      </c>
      <c r="J92" s="36" t="str">
        <f>IFERROR(__xludf.DUMMYFUNCTION("IFERROR(INDEX(FILTER('棲息地'!$B$2:$B995 &amp; "" / "" &amp; '棲息地'!$C$2:$C995, ISNUMBER(SEARCH($B92, '棲息地'!$D$2:$D995))), 2), """")"),"熔岩釣 / 椅子 ×1、釣竿 ×1、熔岩 ×1")</f>
        <v>熔岩釣 / 椅子 ×1、釣竿 ×1、熔岩 ×1</v>
      </c>
      <c r="K92" s="36" t="str">
        <f>IFERROR(__xludf.DUMMYFUNCTION("IFERROR(INDEX(FILTER('棲息地'!$D$2:$D995, ISNUMBER(SEARCH($B92, '棲息地'!$D$2:$D995))), 2), """")"),"風速狗（★）")</f>
        <v>風速狗（★）</v>
      </c>
      <c r="L92" s="36" t="str">
        <f>IFERROR(__xludf.DUMMYFUNCTION("IFERROR(INDEX(FILTER('棲息地'!$D$2:$D995, ISNUMBER(SEARCH($B92, '棲息地'!$D$2:$D995))), 3), """")"),"")</f>
        <v/>
      </c>
      <c r="M92" s="36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22.5" customHeight="1">
      <c r="A93" s="33" t="s">
        <v>1368</v>
      </c>
      <c r="B93" s="34" t="s">
        <v>1369</v>
      </c>
      <c r="C93" s="35" t="s">
        <v>1222</v>
      </c>
      <c r="D93" s="34" t="s">
        <v>1080</v>
      </c>
      <c r="E93" s="35" t="s">
        <v>1093</v>
      </c>
      <c r="F93" s="35" t="s">
        <v>1370</v>
      </c>
      <c r="G93" s="35" t="s">
        <v>1095</v>
      </c>
      <c r="H93" s="36" t="str">
        <f>IFERROR(__xludf.DUMMYFUNCTION("IFERROR(INDEX(FILTER('棲息地'!$B$2:$B995 &amp; "" / "" &amp; '棲息地'!$C$2:$C995, ISNUMBER(SEARCH($B93, '棲息地'!$D$2:$D995))), 1), """")"),"打包好囉 / 手推車 ×1、紙箱 ×2")</f>
        <v>打包好囉 / 手推車 ×1、紙箱 ×2</v>
      </c>
      <c r="I93" s="36" t="str">
        <f>IFERROR(__xludf.DUMMYFUNCTION("IFERROR(INDEX(FILTER('棲息地'!$D$2:$D995, ISNUMBER(SEARCH($B93, '棲息地'!$D$2:$D995))), 1), """")"),"幕下力士、大蔥鴨")</f>
        <v>幕下力士、大蔥鴨</v>
      </c>
      <c r="J93" s="36" t="str">
        <f>IFERROR(__xludf.DUMMYFUNCTION("IFERROR(INDEX(FILTER('棲息地'!$B$2:$B995 &amp; "" / "" &amp; '棲息地'!$C$2:$C995, ISNUMBER(SEARCH($B93, '棲息地'!$D$2:$D995))), 2), """")"),"")</f>
        <v/>
      </c>
      <c r="K93" s="36" t="str">
        <f>IFERROR(__xludf.DUMMYFUNCTION("IFERROR(INDEX(FILTER('棲息地'!$D$2:$D995, ISNUMBER(SEARCH($B93, '棲息地'!$D$2:$D995))), 2), """")"),"")</f>
        <v/>
      </c>
      <c r="L93" s="36" t="str">
        <f>IFERROR(__xludf.DUMMYFUNCTION("IFERROR(INDEX(FILTER('棲息地'!$D$2:$D995, ISNUMBER(SEARCH($B93, '棲息地'!$D$2:$D995))), 3), """")"),"")</f>
        <v/>
      </c>
      <c r="M93" s="36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22.5" customHeight="1">
      <c r="A94" s="33" t="s">
        <v>1371</v>
      </c>
      <c r="B94" s="34" t="s">
        <v>1372</v>
      </c>
      <c r="C94" s="35" t="s">
        <v>1265</v>
      </c>
      <c r="D94" s="35" t="s">
        <v>1373</v>
      </c>
      <c r="E94" s="35" t="s">
        <v>1200</v>
      </c>
      <c r="F94" s="35" t="s">
        <v>1374</v>
      </c>
      <c r="G94" s="35" t="s">
        <v>1125</v>
      </c>
      <c r="H94" s="36" t="str">
        <f>IFERROR(__xludf.DUMMYFUNCTION("IFERROR(INDEX(FILTER('棲息地'!$B$2:$B995 &amp; "" / "" &amp; '棲息地'!$C$2:$C995, ISNUMBER(SEARCH($B94, '棲息地'!$D$2:$D995))), 1), """")"),"沼澤釣 / 釣竿 ×1、椅子 ×1")</f>
        <v>沼澤釣 / 釣竿 ×1、椅子 ×1</v>
      </c>
      <c r="I94" s="36" t="str">
        <f>IFERROR(__xludf.DUMMYFUNCTION("IFERROR(INDEX(FILTER('棲息地'!$D$2:$D995, ISNUMBER(SEARCH($B94, '棲息地'!$D$2:$D995))), 1), """")"),"臭泥、臭臭泥")</f>
        <v>臭泥、臭臭泥</v>
      </c>
      <c r="J94" s="36" t="str">
        <f>IFERROR(__xludf.DUMMYFUNCTION("IFERROR(INDEX(FILTER('棲息地'!$B$2:$B995 &amp; "" / "" &amp; '棲息地'!$C$2:$C995, ISNUMBER(SEARCH($B94, '棲息地'!$D$2:$D995))), 2), """")"),"")</f>
        <v/>
      </c>
      <c r="K94" s="36" t="str">
        <f>IFERROR(__xludf.DUMMYFUNCTION("IFERROR(INDEX(FILTER('棲息地'!$D$2:$D995, ISNUMBER(SEARCH($B94, '棲息地'!$D$2:$D995))), 2), """")"),"")</f>
        <v/>
      </c>
      <c r="L94" s="36" t="str">
        <f>IFERROR(__xludf.DUMMYFUNCTION("IFERROR(INDEX(FILTER('棲息地'!$D$2:$D995, ISNUMBER(SEARCH($B94, '棲息地'!$D$2:$D995))), 3), """")"),"")</f>
        <v/>
      </c>
      <c r="M94" s="36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22.5" customHeight="1">
      <c r="A95" s="33" t="s">
        <v>1375</v>
      </c>
      <c r="B95" s="34" t="s">
        <v>1376</v>
      </c>
      <c r="C95" s="35" t="s">
        <v>1265</v>
      </c>
      <c r="D95" s="35" t="s">
        <v>1373</v>
      </c>
      <c r="E95" s="35" t="s">
        <v>1200</v>
      </c>
      <c r="F95" s="35" t="s">
        <v>1377</v>
      </c>
      <c r="G95" s="35" t="s">
        <v>1125</v>
      </c>
      <c r="H95" s="36" t="str">
        <f>IFERROR(__xludf.DUMMYFUNCTION("IFERROR(INDEX(FILTER('棲息地'!$B$2:$B995 &amp; "" / "" &amp; '棲息地'!$C$2:$C995, ISNUMBER(SEARCH($B95, '棲息地'!$D$2:$D995))), 1), """")"),"沼澤釣 / 釣竿 ×1、椅子 ×1")</f>
        <v>沼澤釣 / 釣竿 ×1、椅子 ×1</v>
      </c>
      <c r="I95" s="36" t="str">
        <f>IFERROR(__xludf.DUMMYFUNCTION("IFERROR(INDEX(FILTER('棲息地'!$D$2:$D995, ISNUMBER(SEARCH($B95, '棲息地'!$D$2:$D995))), 1), """")"),"臭泥、臭臭泥")</f>
        <v>臭泥、臭臭泥</v>
      </c>
      <c r="J95" s="36" t="str">
        <f>IFERROR(__xludf.DUMMYFUNCTION("IFERROR(INDEX(FILTER('棲息地'!$B$2:$B995 &amp; "" / "" &amp; '棲息地'!$C$2:$C995, ISNUMBER(SEARCH($B95, '棲息地'!$D$2:$D995))), 2), """")"),"")</f>
        <v/>
      </c>
      <c r="K95" s="36" t="str">
        <f>IFERROR(__xludf.DUMMYFUNCTION("IFERROR(INDEX(FILTER('棲息地'!$D$2:$D995, ISNUMBER(SEARCH($B95, '棲息地'!$D$2:$D995))), 2), """")"),"")</f>
        <v/>
      </c>
      <c r="L95" s="36" t="str">
        <f>IFERROR(__xludf.DUMMYFUNCTION("IFERROR(INDEX(FILTER('棲息地'!$D$2:$D995, ISNUMBER(SEARCH($B95, '棲息地'!$D$2:$D995))), 3), """")"),"")</f>
        <v/>
      </c>
      <c r="M95" s="36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22.5" customHeight="1">
      <c r="A96" s="33" t="s">
        <v>1378</v>
      </c>
      <c r="B96" s="34" t="s">
        <v>1379</v>
      </c>
      <c r="C96" s="35" t="s">
        <v>1380</v>
      </c>
      <c r="D96" s="34" t="s">
        <v>1080</v>
      </c>
      <c r="E96" s="35" t="s">
        <v>1200</v>
      </c>
      <c r="F96" s="35" t="s">
        <v>1381</v>
      </c>
      <c r="G96" s="35" t="s">
        <v>1095</v>
      </c>
      <c r="H96" s="36" t="str">
        <f>IFERROR(__xludf.DUMMYFUNCTION("IFERROR(INDEX(FILTER('棲息地'!$B$2:$B995 &amp; "" / "" &amp; '棲息地'!$C$2:$C995, ISNUMBER(SEARCH($B96, '棲息地'!$D$2:$D995))), 1), """")"),"小心機關 / 氣球 ×2、驚嚇箱 ×1")</f>
        <v>小心機關 / 氣球 ×2、驚嚇箱 ×1</v>
      </c>
      <c r="I96" s="36" t="str">
        <f>IFERROR(__xludf.DUMMYFUNCTION("IFERROR(INDEX(FILTER('棲息地'!$D$2:$D995, ISNUMBER(SEARCH($B96, '棲息地'!$D$2:$D995))), 1), """")"),"索羅亞克、耿鬼、鬼斯通")</f>
        <v>索羅亞克、耿鬼、鬼斯通</v>
      </c>
      <c r="J96" s="36" t="str">
        <f>IFERROR(__xludf.DUMMYFUNCTION("IFERROR(INDEX(FILTER('棲息地'!$B$2:$B995 &amp; "" / "" &amp; '棲息地'!$C$2:$C995, ISNUMBER(SEARCH($B96, '棲息地'!$D$2:$D995))), 2), """")"),"詭異書房 / 書架 ×1、自然風桌子 ×1、雅緻沙發 ×1、細蠟燭 ×1")</f>
        <v>詭異書房 / 書架 ×1、自然風桌子 ×1、雅緻沙發 ×1、細蠟燭 ×1</v>
      </c>
      <c r="K96" s="36" t="str">
        <f>IFERROR(__xludf.DUMMYFUNCTION("IFERROR(INDEX(FILTER('棲息地'!$D$2:$D995, ISNUMBER(SEARCH($B96, '棲息地'!$D$2:$D995))), 2), """")"),"鬼斯（★）、鬼斯通（★★）")</f>
        <v>鬼斯（★）、鬼斯通（★★）</v>
      </c>
      <c r="L96" s="36" t="str">
        <f>IFERROR(__xludf.DUMMYFUNCTION("IFERROR(INDEX(FILTER('棲息地'!$D$2:$D995, ISNUMBER(SEARCH($B96, '棲息地'!$D$2:$D995))), 3), """")"),"")</f>
        <v/>
      </c>
      <c r="M96" s="36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22.5" customHeight="1">
      <c r="A97" s="33" t="s">
        <v>1382</v>
      </c>
      <c r="B97" s="34" t="s">
        <v>1383</v>
      </c>
      <c r="C97" s="35" t="s">
        <v>1380</v>
      </c>
      <c r="D97" s="34" t="s">
        <v>1080</v>
      </c>
      <c r="E97" s="35" t="s">
        <v>1200</v>
      </c>
      <c r="F97" s="35" t="s">
        <v>1384</v>
      </c>
      <c r="G97" s="35" t="s">
        <v>1095</v>
      </c>
      <c r="H97" s="36" t="str">
        <f>IFERROR(__xludf.DUMMYFUNCTION("IFERROR(INDEX(FILTER('棲息地'!$B$2:$B995 &amp; "" / "" &amp; '棲息地'!$C$2:$C995, ISNUMBER(SEARCH($B97, '棲息地'!$D$2:$D995))), 1), """")"),"小心機關 / 氣球 ×2、驚嚇箱 ×1")</f>
        <v>小心機關 / 氣球 ×2、驚嚇箱 ×1</v>
      </c>
      <c r="I97" s="36" t="str">
        <f>IFERROR(__xludf.DUMMYFUNCTION("IFERROR(INDEX(FILTER('棲息地'!$D$2:$D995, ISNUMBER(SEARCH($B97, '棲息地'!$D$2:$D995))), 1), """")"),"索羅亞克、耿鬼、鬼斯通")</f>
        <v>索羅亞克、耿鬼、鬼斯通</v>
      </c>
      <c r="J97" s="36" t="str">
        <f>IFERROR(__xludf.DUMMYFUNCTION("IFERROR(INDEX(FILTER('棲息地'!$B$2:$B995 &amp; "" / "" &amp; '棲息地'!$C$2:$C995, ISNUMBER(SEARCH($B97, '棲息地'!$D$2:$D995))), 2), """")"),"詭異書房 / 書架 ×1、自然風桌子 ×1、雅緻沙發 ×1、細蠟燭 ×1")</f>
        <v>詭異書房 / 書架 ×1、自然風桌子 ×1、雅緻沙發 ×1、細蠟燭 ×1</v>
      </c>
      <c r="K97" s="36" t="str">
        <f>IFERROR(__xludf.DUMMYFUNCTION("IFERROR(INDEX(FILTER('棲息地'!$D$2:$D995, ISNUMBER(SEARCH($B97, '棲息地'!$D$2:$D995))), 2), """")"),"鬼斯（★）、鬼斯通（★★）")</f>
        <v>鬼斯（★）、鬼斯通（★★）</v>
      </c>
      <c r="L97" s="36" t="str">
        <f>IFERROR(__xludf.DUMMYFUNCTION("IFERROR(INDEX(FILTER('棲息地'!$D$2:$D995, ISNUMBER(SEARCH($B97, '棲息地'!$D$2:$D995))), 3), """")"),"")</f>
        <v/>
      </c>
      <c r="M97" s="36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22.5" customHeight="1">
      <c r="A98" s="33" t="s">
        <v>1385</v>
      </c>
      <c r="B98" s="34" t="s">
        <v>1386</v>
      </c>
      <c r="C98" s="35" t="s">
        <v>1380</v>
      </c>
      <c r="D98" s="34" t="s">
        <v>1080</v>
      </c>
      <c r="E98" s="35" t="s">
        <v>1200</v>
      </c>
      <c r="F98" s="35" t="s">
        <v>1387</v>
      </c>
      <c r="G98" s="35" t="s">
        <v>1083</v>
      </c>
      <c r="H98" s="36" t="str">
        <f>IFERROR(__xludf.DUMMYFUNCTION("IFERROR(INDEX(FILTER('棲息地'!$B$2:$B995 &amp; "" / "" &amp; '棲息地'!$C$2:$C995, ISNUMBER(SEARCH($B98, '棲息地'!$D$2:$D995))), 1), """")"),"小心機關 / 氣球 ×2、驚嚇箱 ×1")</f>
        <v>小心機關 / 氣球 ×2、驚嚇箱 ×1</v>
      </c>
      <c r="I98" s="36" t="str">
        <f>IFERROR(__xludf.DUMMYFUNCTION("IFERROR(INDEX(FILTER('棲息地'!$D$2:$D995, ISNUMBER(SEARCH($B98, '棲息地'!$D$2:$D995))), 1), """")"),"索羅亞克、耿鬼、鬼斯通")</f>
        <v>索羅亞克、耿鬼、鬼斯通</v>
      </c>
      <c r="J98" s="36" t="str">
        <f>IFERROR(__xludf.DUMMYFUNCTION("IFERROR(INDEX(FILTER('棲息地'!$B$2:$B995 &amp; "" / "" &amp; '棲息地'!$C$2:$C995, ISNUMBER(SEARCH($B98, '棲息地'!$D$2:$D995))), 2), """")"),"")</f>
        <v/>
      </c>
      <c r="K98" s="36" t="str">
        <f>IFERROR(__xludf.DUMMYFUNCTION("IFERROR(INDEX(FILTER('棲息地'!$D$2:$D995, ISNUMBER(SEARCH($B98, '棲息地'!$D$2:$D995))), 2), """")"),"")</f>
        <v/>
      </c>
      <c r="L98" s="36" t="str">
        <f>IFERROR(__xludf.DUMMYFUNCTION("IFERROR(INDEX(FILTER('棲息地'!$D$2:$D995, ISNUMBER(SEARCH($B98, '棲息地'!$D$2:$D995))), 3), """")"),"")</f>
        <v/>
      </c>
      <c r="M98" s="36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22.5" customHeight="1">
      <c r="A99" s="33" t="s">
        <v>1388</v>
      </c>
      <c r="B99" s="34" t="s">
        <v>338</v>
      </c>
      <c r="C99" s="35" t="s">
        <v>1389</v>
      </c>
      <c r="D99" s="34" t="s">
        <v>1080</v>
      </c>
      <c r="E99" s="35" t="s">
        <v>1081</v>
      </c>
      <c r="F99" s="35" t="s">
        <v>1390</v>
      </c>
      <c r="G99" s="35" t="s">
        <v>1125</v>
      </c>
      <c r="H99" s="36" t="str">
        <f>IFERROR(__xludf.DUMMYFUNCTION("IFERROR(INDEX(FILTER('棲息地'!$B$2:$B995 &amp; "" / "" &amp; '棲息地'!$C$2:$C995, ISNUMBER(SEARCH($B99, '棲息地'!$D$2:$D995))), 1), """")"),"公園的長椅 / 椅子(長條) ×1、垃圾桶 ×1")</f>
        <v>公園的長椅 / 椅子(長條) ×1、垃圾桶 ×1</v>
      </c>
      <c r="I99" s="36" t="str">
        <f>IFERROR(__xludf.DUMMYFUNCTION("IFERROR(INDEX(FILTER('棲息地'!$D$2:$D995, ISNUMBER(SEARCH($B99, '棲息地'!$D$2:$D995))), 1), """")"),"霹靂電球")</f>
        <v>霹靂電球</v>
      </c>
      <c r="J99" s="36" t="str">
        <f>IFERROR(__xludf.DUMMYFUNCTION("IFERROR(INDEX(FILTER('棲息地'!$B$2:$B995 &amp; "" / "" &amp; '棲息地'!$C$2:$C995, ISNUMBER(SEARCH($B99, '棲息地'!$D$2:$D995))), 2), """")"),"水手家家酒 / 木桶 ×2、發射筒 ×2、舵輪 ×1")</f>
        <v>水手家家酒 / 木桶 ×2、發射筒 ×2、舵輪 ×1</v>
      </c>
      <c r="K99" s="36" t="str">
        <f>IFERROR(__xludf.DUMMYFUNCTION("IFERROR(INDEX(FILTER('棲息地'!$D$2:$D995, ISNUMBER(SEARCH($B99, '棲息地'!$D$2:$D995))), 2), """")"),"霹靂電球（★）、頑皮雷彈（★）")</f>
        <v>霹靂電球（★）、頑皮雷彈（★）</v>
      </c>
      <c r="L99" s="36" t="str">
        <f>IFERROR(__xludf.DUMMYFUNCTION("IFERROR(INDEX(FILTER('棲息地'!$D$2:$D995, ISNUMBER(SEARCH($B99, '棲息地'!$D$2:$D995))), 3), """")"),"")</f>
        <v/>
      </c>
      <c r="M99" s="36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22.5" customHeight="1">
      <c r="A100" s="33" t="s">
        <v>1391</v>
      </c>
      <c r="B100" s="34" t="s">
        <v>1392</v>
      </c>
      <c r="C100" s="35" t="s">
        <v>1389</v>
      </c>
      <c r="D100" s="34" t="s">
        <v>1080</v>
      </c>
      <c r="E100" s="35" t="s">
        <v>1081</v>
      </c>
      <c r="F100" s="35" t="s">
        <v>1393</v>
      </c>
      <c r="G100" s="35" t="s">
        <v>1087</v>
      </c>
      <c r="H100" s="36" t="str">
        <f>IFERROR(__xludf.DUMMYFUNCTION("IFERROR(INDEX(FILTER('棲息地'!$B$2:$B995 &amp; "" / "" &amp; '棲息地'!$C$2:$C995, ISNUMBER(SEARCH($B100, '棲息地'!$D$2:$D995))), 1), """")"),"水手家家酒 / 木桶 ×2、發射筒 ×2、舵輪 ×1")</f>
        <v>水手家家酒 / 木桶 ×2、發射筒 ×2、舵輪 ×1</v>
      </c>
      <c r="I100" s="36" t="str">
        <f>IFERROR(__xludf.DUMMYFUNCTION("IFERROR(INDEX(FILTER('棲息地'!$D$2:$D995, ISNUMBER(SEARCH($B100, '棲息地'!$D$2:$D995))), 1), """")"),"霹靂電球（★）、頑皮雷彈（★）")</f>
        <v>霹靂電球（★）、頑皮雷彈（★）</v>
      </c>
      <c r="J100" s="36" t="str">
        <f>IFERROR(__xludf.DUMMYFUNCTION("IFERROR(INDEX(FILTER('棲息地'!$B$2:$B995 &amp; "" / "" &amp; '棲息地'!$C$2:$C995, ISNUMBER(SEARCH($B100, '棲息地'!$D$2:$D995))), 2), """")"),"")</f>
        <v/>
      </c>
      <c r="K100" s="36" t="str">
        <f>IFERROR(__xludf.DUMMYFUNCTION("IFERROR(INDEX(FILTER('棲息地'!$D$2:$D995, ISNUMBER(SEARCH($B100, '棲息地'!$D$2:$D995))), 2), """")"),"")</f>
        <v/>
      </c>
      <c r="L100" s="36" t="str">
        <f>IFERROR(__xludf.DUMMYFUNCTION("IFERROR(INDEX(FILTER('棲息地'!$D$2:$D995, ISNUMBER(SEARCH($B100, '棲息地'!$D$2:$D995))), 3), """")"),"")</f>
        <v/>
      </c>
      <c r="M100" s="36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22.5" customHeight="1">
      <c r="A101" s="33" t="s">
        <v>1394</v>
      </c>
      <c r="B101" s="34" t="s">
        <v>303</v>
      </c>
      <c r="C101" s="35" t="s">
        <v>1395</v>
      </c>
      <c r="D101" s="34" t="s">
        <v>1080</v>
      </c>
      <c r="E101" s="35" t="s">
        <v>1081</v>
      </c>
      <c r="F101" s="35" t="s">
        <v>1396</v>
      </c>
      <c r="G101" s="35" t="s">
        <v>1095</v>
      </c>
      <c r="H101" s="36" t="str">
        <f>IFERROR(__xludf.DUMMYFUNCTION("IFERROR(INDEX(FILTER('棲息地'!$B$2:$B995 &amp; "" / "" &amp; '棲息地'!$C$2:$C995, ISNUMBER(SEARCH($B101, '棲息地'!$D$2:$D995))), 1), """")"),"南國氣氛 / 大椰子樹 ×1、海邊之花 ×4")</f>
        <v>南國氣氛 / 大椰子樹 ×1、海邊之花 ×4</v>
      </c>
      <c r="I101" s="36" t="str">
        <f>IFERROR(__xludf.DUMMYFUNCTION("IFERROR(INDEX(FILTER('棲息地'!$D$2:$D995, ISNUMBER(SEARCH($B101, '棲息地'!$D$2:$D995))), 1), """")"),"椰蛋樹、臭臭花、蛋蛋")</f>
        <v>椰蛋樹、臭臭花、蛋蛋</v>
      </c>
      <c r="J101" s="36" t="str">
        <f>IFERROR(__xludf.DUMMYFUNCTION("IFERROR(INDEX(FILTER('棲息地'!$B$2:$B995 &amp; "" / "" &amp; '棲息地'!$C$2:$C995, ISNUMBER(SEARCH($B101, '棲息地'!$D$2:$D995))), 2), """")"),"沙灘的樹蔭 / 大椰子樹 ×1、海灘椅 ×1")</f>
        <v>沙灘的樹蔭 / 大椰子樹 ×1、海灘椅 ×1</v>
      </c>
      <c r="K101" s="36" t="str">
        <f>IFERROR(__xludf.DUMMYFUNCTION("IFERROR(INDEX(FILTER('棲息地'!$D$2:$D995, ISNUMBER(SEARCH($B101, '棲息地'!$D$2:$D995))), 2), """")"),"蛋蛋")</f>
        <v>蛋蛋</v>
      </c>
      <c r="L101" s="36" t="str">
        <f>IFERROR(__xludf.DUMMYFUNCTION("IFERROR(INDEX(FILTER('棲息地'!$D$2:$D995, ISNUMBER(SEARCH($B101, '棲息地'!$D$2:$D995))), 3), """")"),"")</f>
        <v/>
      </c>
      <c r="M101" s="36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22.5" customHeight="1">
      <c r="A102" s="33" t="s">
        <v>1397</v>
      </c>
      <c r="B102" s="34" t="s">
        <v>1398</v>
      </c>
      <c r="C102" s="35" t="s">
        <v>1395</v>
      </c>
      <c r="D102" s="34" t="s">
        <v>1080</v>
      </c>
      <c r="E102" s="35" t="s">
        <v>1081</v>
      </c>
      <c r="F102" s="35" t="s">
        <v>1399</v>
      </c>
      <c r="G102" s="35" t="s">
        <v>1129</v>
      </c>
      <c r="H102" s="36" t="str">
        <f>IFERROR(__xludf.DUMMYFUNCTION("IFERROR(INDEX(FILTER('棲息地'!$B$2:$B995 &amp; "" / "" &amp; '棲息地'!$C$2:$C995, ISNUMBER(SEARCH($B102, '棲息地'!$D$2:$D995))), 1), """")"),"南國氣氛 / 大椰子樹 ×1、海邊之花 ×4")</f>
        <v>南國氣氛 / 大椰子樹 ×1、海邊之花 ×4</v>
      </c>
      <c r="I102" s="36" t="str">
        <f>IFERROR(__xludf.DUMMYFUNCTION("IFERROR(INDEX(FILTER('棲息地'!$D$2:$D995, ISNUMBER(SEARCH($B102, '棲息地'!$D$2:$D995))), 1), """")"),"椰蛋樹、臭臭花、蛋蛋")</f>
        <v>椰蛋樹、臭臭花、蛋蛋</v>
      </c>
      <c r="J102" s="36" t="str">
        <f>IFERROR(__xludf.DUMMYFUNCTION("IFERROR(INDEX(FILTER('棲息地'!$B$2:$B995 &amp; "" / "" &amp; '棲息地'!$C$2:$C995, ISNUMBER(SEARCH($B102, '棲息地'!$D$2:$D995))), 2), """")"),"")</f>
        <v/>
      </c>
      <c r="K102" s="36" t="str">
        <f>IFERROR(__xludf.DUMMYFUNCTION("IFERROR(INDEX(FILTER('棲息地'!$D$2:$D995, ISNUMBER(SEARCH($B102, '棲息地'!$D$2:$D995))), 2), """")"),"")</f>
        <v/>
      </c>
      <c r="L102" s="36" t="str">
        <f>IFERROR(__xludf.DUMMYFUNCTION("IFERROR(INDEX(FILTER('棲息地'!$D$2:$D995, ISNUMBER(SEARCH($B102, '棲息地'!$D$2:$D995))), 3), """")"),"")</f>
        <v/>
      </c>
      <c r="M102" s="36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22.5" customHeight="1">
      <c r="A103" s="33" t="s">
        <v>1400</v>
      </c>
      <c r="B103" s="34" t="s">
        <v>418</v>
      </c>
      <c r="C103" s="35" t="s">
        <v>1192</v>
      </c>
      <c r="D103" s="34" t="s">
        <v>1080</v>
      </c>
      <c r="E103" s="35" t="s">
        <v>1081</v>
      </c>
      <c r="F103" s="35" t="s">
        <v>1401</v>
      </c>
      <c r="G103" s="35" t="s">
        <v>1083</v>
      </c>
      <c r="H103" s="36" t="str">
        <f>IFERROR(__xludf.DUMMYFUNCTION("IFERROR(INDEX(FILTER('棲息地'!$B$2:$B995 &amp; "" / "" &amp; '棲息地'!$C$2:$C995, ISNUMBER(SEARCH($B103, '棲息地'!$D$2:$D995))), 1), """")"),"鬧鐘床鋪空間 / 床鋪 ×1、桌子 ×1")</f>
        <v>鬧鐘床鋪空間 / 床鋪 ×1、桌子 ×1</v>
      </c>
      <c r="I103" s="36" t="str">
        <f>IFERROR(__xludf.DUMMYFUNCTION("IFERROR(INDEX(FILTER('棲息地'!$D$2:$D995, ISNUMBER(SEARCH($B103, '棲息地'!$D$2:$D995))), 1), """")"),"小福蛋")</f>
        <v>小福蛋</v>
      </c>
      <c r="J103" s="36" t="str">
        <f>IFERROR(__xludf.DUMMYFUNCTION("IFERROR(INDEX(FILTER('棲息地'!$B$2:$B995 &amp; "" / "" &amp; '棲息地'!$C$2:$C995, ISNUMBER(SEARCH($B103, '棲息地'!$D$2:$D995))), 2), """")"),"到收銀檯結帳 / 桌子 ×2")</f>
        <v>到收銀檯結帳 / 桌子 ×2</v>
      </c>
      <c r="K103" s="36" t="str">
        <f>IFERROR(__xludf.DUMMYFUNCTION("IFERROR(INDEX(FILTER('棲息地'!$D$2:$D995, ISNUMBER(SEARCH($B103, '棲息地'!$D$2:$D995))), 2), """")"),"喵喵、小福蛋、差不多娃娃、大嘴娃（空空鎮)")</f>
        <v>喵喵、小福蛋、差不多娃娃、大嘴娃（空空鎮)</v>
      </c>
      <c r="L103" s="36" t="str">
        <f>IFERROR(__xludf.DUMMYFUNCTION("IFERROR(INDEX(FILTER('棲息地'!$D$2:$D995, ISNUMBER(SEARCH($B103, '棲息地'!$D$2:$D995))), 3), """")"),"")</f>
        <v/>
      </c>
      <c r="M103" s="36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22.5" customHeight="1">
      <c r="A104" s="33" t="s">
        <v>1402</v>
      </c>
      <c r="B104" s="34" t="s">
        <v>1403</v>
      </c>
      <c r="C104" s="35" t="s">
        <v>1192</v>
      </c>
      <c r="D104" s="34" t="s">
        <v>1080</v>
      </c>
      <c r="E104" s="35" t="s">
        <v>1081</v>
      </c>
      <c r="F104" s="35" t="s">
        <v>1404</v>
      </c>
      <c r="G104" s="35" t="s">
        <v>1083</v>
      </c>
      <c r="H104" s="36" t="str">
        <f>IFERROR(__xludf.DUMMYFUNCTION("IFERROR(INDEX(FILTER('棲息地'!$B$2:$B995 &amp; "" / "" &amp; '棲息地'!$C$2:$C995, ISNUMBER(SEARCH($B104, '棲息地'!$D$2:$D995))), 1), """")"),"痊癒前好好休息 / 床鋪 ×1、急救箱 ×1、自然風櫃子 ×1")</f>
        <v>痊癒前好好休息 / 床鋪 ×1、急救箱 ×1、自然風櫃子 ×1</v>
      </c>
      <c r="I104" s="36" t="str">
        <f>IFERROR(__xludf.DUMMYFUNCTION("IFERROR(INDEX(FILTER('棲息地'!$D$2:$D995, ISNUMBER(SEARCH($B104, '棲息地'!$D$2:$D995))), 1), """")"),"淺淺丘（★★）、吉利蛋（★）")</f>
        <v>淺淺丘（★★）、吉利蛋（★）</v>
      </c>
      <c r="J104" s="36" t="str">
        <f>IFERROR(__xludf.DUMMYFUNCTION("IFERROR(INDEX(FILTER('棲息地'!$B$2:$B995 &amp; "" / "" &amp; '棲息地'!$C$2:$C995, ISNUMBER(SEARCH($B104, '棲息地'!$D$2:$D995))), 2), """")"),"")</f>
        <v/>
      </c>
      <c r="K104" s="36" t="str">
        <f>IFERROR(__xludf.DUMMYFUNCTION("IFERROR(INDEX(FILTER('棲息地'!$D$2:$D995, ISNUMBER(SEARCH($B104, '棲息地'!$D$2:$D995))), 2), """")"),"")</f>
        <v/>
      </c>
      <c r="L104" s="36" t="str">
        <f>IFERROR(__xludf.DUMMYFUNCTION("IFERROR(INDEX(FILTER('棲息地'!$D$2:$D995, ISNUMBER(SEARCH($B104, '棲息地'!$D$2:$D995))), 3), """")"),"")</f>
        <v/>
      </c>
      <c r="M104" s="36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22.5" customHeight="1">
      <c r="A105" s="33" t="s">
        <v>1405</v>
      </c>
      <c r="B105" s="34" t="s">
        <v>1406</v>
      </c>
      <c r="C105" s="35" t="s">
        <v>1407</v>
      </c>
      <c r="D105" s="35" t="s">
        <v>1408</v>
      </c>
      <c r="E105" s="35" t="s">
        <v>1081</v>
      </c>
      <c r="F105" s="35" t="s">
        <v>1404</v>
      </c>
      <c r="G105" s="35" t="s">
        <v>1087</v>
      </c>
      <c r="H105" s="36" t="str">
        <f>IFERROR(__xludf.DUMMYFUNCTION("IFERROR(INDEX(FILTER('棲息地'!$B$2:$B995 &amp; "" / "" &amp; '棲息地'!$C$2:$C995, ISNUMBER(SEARCH($B105, '棲息地'!$D$2:$D995))), 1), """")"),"超可愛空間 / 可愛梳妝台/床鋪/檯燈/桌子/沙發 各1")</f>
        <v>超可愛空間 / 可愛梳妝台/床鋪/檯燈/桌子/沙發 各1</v>
      </c>
      <c r="I105" s="36" t="str">
        <f>IFERROR(__xludf.DUMMYFUNCTION("IFERROR(INDEX(FILTER('棲息地'!$D$2:$D995, ISNUMBER(SEARCH($B105, '棲息地'!$D$2:$D995))), 1), """")"),"幸福蛋（★）")</f>
        <v>幸福蛋（★）</v>
      </c>
      <c r="J105" s="36" t="str">
        <f>IFERROR(__xludf.DUMMYFUNCTION("IFERROR(INDEX(FILTER('棲息地'!$B$2:$B995 &amp; "" / "" &amp; '棲息地'!$C$2:$C995, ISNUMBER(SEARCH($B105, '棲息地'!$D$2:$D995))), 2), """")"),"")</f>
        <v/>
      </c>
      <c r="K105" s="36" t="str">
        <f>IFERROR(__xludf.DUMMYFUNCTION("IFERROR(INDEX(FILTER('棲息地'!$D$2:$D995, ISNUMBER(SEARCH($B105, '棲息地'!$D$2:$D995))), 2), """")"),"")</f>
        <v/>
      </c>
      <c r="L105" s="36" t="str">
        <f>IFERROR(__xludf.DUMMYFUNCTION("IFERROR(INDEX(FILTER('棲息地'!$D$2:$D995, ISNUMBER(SEARCH($B105, '棲息地'!$D$2:$D995))), 3), """")"),"")</f>
        <v/>
      </c>
      <c r="M105" s="36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22.5" customHeight="1">
      <c r="A106" s="33" t="s">
        <v>1409</v>
      </c>
      <c r="B106" s="34" t="s">
        <v>428</v>
      </c>
      <c r="C106" s="35" t="s">
        <v>1169</v>
      </c>
      <c r="D106" s="34" t="s">
        <v>1080</v>
      </c>
      <c r="E106" s="35" t="s">
        <v>1081</v>
      </c>
      <c r="F106" s="35" t="s">
        <v>1410</v>
      </c>
      <c r="G106" s="35" t="s">
        <v>1083</v>
      </c>
      <c r="H106" s="36" t="str">
        <f>IFERROR(__xludf.DUMMYFUNCTION("IFERROR(INDEX(FILTER('棲息地'!$B$2:$B995 &amp; "" / "" &amp; '棲息地'!$C$2:$C995, ISNUMBER(SEARCH($B106, '棲息地'!$D$2:$D995))), 1), """")"),"自動販賣機套組 / 垃圾桶 ×1")</f>
        <v>自動販賣機套組 / 垃圾桶 ×1</v>
      </c>
      <c r="I106" s="36" t="str">
        <f>IFERROR(__xludf.DUMMYFUNCTION("IFERROR(INDEX(FILTER('棲息地'!$D$2:$D995, ISNUMBER(SEARCH($B106, '棲息地'!$D$2:$D995))), 1), """")"),"電擊怪")</f>
        <v>電擊怪</v>
      </c>
      <c r="J106" s="36" t="str">
        <f>IFERROR(__xludf.DUMMYFUNCTION("IFERROR(INDEX(FILTER('棲息地'!$B$2:$B995 &amp; "" / "" &amp; '棲息地'!$C$2:$C995, ISNUMBER(SEARCH($B106, '棲息地'!$D$2:$D995))), 2), """")"),"")</f>
        <v/>
      </c>
      <c r="K106" s="36" t="str">
        <f>IFERROR(__xludf.DUMMYFUNCTION("IFERROR(INDEX(FILTER('棲息地'!$D$2:$D995, ISNUMBER(SEARCH($B106, '棲息地'!$D$2:$D995))), 2), """")"),"")</f>
        <v/>
      </c>
      <c r="L106" s="36" t="str">
        <f>IFERROR(__xludf.DUMMYFUNCTION("IFERROR(INDEX(FILTER('棲息地'!$D$2:$D995, ISNUMBER(SEARCH($B106, '棲息地'!$D$2:$D995))), 3), """")"),"")</f>
        <v/>
      </c>
      <c r="M106" s="36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22.5" customHeight="1">
      <c r="A107" s="33" t="s">
        <v>1411</v>
      </c>
      <c r="B107" s="34" t="s">
        <v>1412</v>
      </c>
      <c r="C107" s="35" t="s">
        <v>1169</v>
      </c>
      <c r="D107" s="34" t="s">
        <v>1080</v>
      </c>
      <c r="E107" s="35" t="s">
        <v>1081</v>
      </c>
      <c r="F107" s="35" t="s">
        <v>1413</v>
      </c>
      <c r="G107" s="35" t="s">
        <v>1095</v>
      </c>
      <c r="H107" s="36" t="str">
        <f>IFERROR(__xludf.DUMMYFUNCTION("IFERROR(INDEX(FILTER('棲息地'!$B$2:$B995 &amp; "" / "" &amp; '棲息地'!$C$2:$C995, ISNUMBER(SEARCH($B107, '棲息地'!$D$2:$D995))), 1), """")"),"垃圾桶擺好擺滿 / 垃圾桶 ×4")</f>
        <v>垃圾桶擺好擺滿 / 垃圾桶 ×4</v>
      </c>
      <c r="I107" s="36" t="str">
        <f>IFERROR(__xludf.DUMMYFUNCTION("IFERROR(INDEX(FILTER('棲息地'!$D$2:$D995, ISNUMBER(SEARCH($B107, '棲息地'!$D$2:$D995))), 1), """")"),"三合一磁怪、電擊獸")</f>
        <v>三合一磁怪、電擊獸</v>
      </c>
      <c r="J107" s="36" t="str">
        <f>IFERROR(__xludf.DUMMYFUNCTION("IFERROR(INDEX(FILTER('棲息地'!$B$2:$B995 &amp; "" / "" &amp; '棲息地'!$C$2:$C995, ISNUMBER(SEARCH($B107, '棲息地'!$D$2:$D995))), 2), """")"),"燈光舞台 / 聚光燈 ×2、舞台 ×1")</f>
        <v>燈光舞台 / 聚光燈 ×2、舞台 ×1</v>
      </c>
      <c r="K107" s="36" t="str">
        <f>IFERROR(__xludf.DUMMYFUNCTION("IFERROR(INDEX(FILTER('棲息地'!$D$2:$D995, ISNUMBER(SEARCH($B107, '棲息地'!$D$2:$D995))), 2), """")"),"電擊獸（★）、電擊魔獸（★★）")</f>
        <v>電擊獸（★）、電擊魔獸（★★）</v>
      </c>
      <c r="L107" s="36" t="str">
        <f>IFERROR(__xludf.DUMMYFUNCTION("IFERROR(INDEX(FILTER('棲息地'!$D$2:$D995, ISNUMBER(SEARCH($B107, '棲息地'!$D$2:$D995))), 3), """")"),"")</f>
        <v/>
      </c>
      <c r="M107" s="36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22.5" customHeight="1">
      <c r="A108" s="33" t="s">
        <v>1414</v>
      </c>
      <c r="B108" s="34" t="s">
        <v>1415</v>
      </c>
      <c r="C108" s="35" t="s">
        <v>1416</v>
      </c>
      <c r="D108" s="34" t="s">
        <v>1080</v>
      </c>
      <c r="E108" s="35" t="s">
        <v>1081</v>
      </c>
      <c r="F108" s="35" t="s">
        <v>1417</v>
      </c>
      <c r="G108" s="35" t="s">
        <v>1087</v>
      </c>
      <c r="H108" s="36" t="str">
        <f>IFERROR(__xludf.DUMMYFUNCTION("IFERROR(INDEX(FILTER('棲息地'!$B$2:$B995 &amp; "" / "" &amp; '棲息地'!$C$2:$C995, ISNUMBER(SEARCH($B108, '棲息地'!$D$2:$D995))), 1), """")"),"燈光舞台 / 聚光燈 ×2、舞台 ×1")</f>
        <v>燈光舞台 / 聚光燈 ×2、舞台 ×1</v>
      </c>
      <c r="I108" s="36" t="str">
        <f>IFERROR(__xludf.DUMMYFUNCTION("IFERROR(INDEX(FILTER('棲息地'!$D$2:$D995, ISNUMBER(SEARCH($B108, '棲息地'!$D$2:$D995))), 1), """")"),"電擊獸（★）、電擊魔獸（★★）")</f>
        <v>電擊獸（★）、電擊魔獸（★★）</v>
      </c>
      <c r="J108" s="36" t="str">
        <f>IFERROR(__xludf.DUMMYFUNCTION("IFERROR(INDEX(FILTER('棲息地'!$B$2:$B995 &amp; "" / "" &amp; '棲息地'!$C$2:$C995, ISNUMBER(SEARCH($B108, '棲息地'!$D$2:$D995))), 2), """")"),"")</f>
        <v/>
      </c>
      <c r="K108" s="36" t="str">
        <f>IFERROR(__xludf.DUMMYFUNCTION("IFERROR(INDEX(FILTER('棲息地'!$D$2:$D995, ISNUMBER(SEARCH($B108, '棲息地'!$D$2:$D995))), 2), """")"),"")</f>
        <v/>
      </c>
      <c r="L108" s="36" t="str">
        <f>IFERROR(__xludf.DUMMYFUNCTION("IFERROR(INDEX(FILTER('棲息地'!$D$2:$D995, ISNUMBER(SEARCH($B108, '棲息地'!$D$2:$D995))), 3), """")"),"")</f>
        <v/>
      </c>
      <c r="M108" s="36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22.5" customHeight="1">
      <c r="A109" s="33" t="s">
        <v>1418</v>
      </c>
      <c r="B109" s="34" t="s">
        <v>308</v>
      </c>
      <c r="C109" s="35" t="s">
        <v>1103</v>
      </c>
      <c r="D109" s="34" t="s">
        <v>1080</v>
      </c>
      <c r="E109" s="35" t="s">
        <v>1103</v>
      </c>
      <c r="F109" s="35" t="s">
        <v>1419</v>
      </c>
      <c r="G109" s="35" t="s">
        <v>1087</v>
      </c>
      <c r="H109" s="36" t="str">
        <f>IFERROR(__xludf.DUMMYFUNCTION("IFERROR(INDEX(FILTER('棲息地'!$B$2:$B995 &amp; "" / "" &amp; '棲息地'!$C$2:$C995, ISNUMBER(SEARCH($B109, '棲息地'!$D$2:$D995))), 1), """")"),"熱帶海岸邊 / 大椰子樹 ×1、樹籬 ×4、海水 ×2")</f>
        <v>熱帶海岸邊 / 大椰子樹 ×1、樹籬 ×4、海水 ×2</v>
      </c>
      <c r="I109" s="36" t="str">
        <f>IFERROR(__xludf.DUMMYFUNCTION("IFERROR(INDEX(FILTER('棲息地'!$D$2:$D995, ISNUMBER(SEARCH($B109, '棲息地'!$D$2:$D995))), 1), """")"),"拉普拉斯")</f>
        <v>拉普拉斯</v>
      </c>
      <c r="J109" s="36" t="str">
        <f>IFERROR(__xludf.DUMMYFUNCTION("IFERROR(INDEX(FILTER('棲息地'!$B$2:$B995 &amp; "" / "" &amp; '棲息地'!$C$2:$C995, ISNUMBER(SEARCH($B109, '棲息地'!$D$2:$D995))), 2), """")"),"")</f>
        <v/>
      </c>
      <c r="K109" s="36" t="str">
        <f>IFERROR(__xludf.DUMMYFUNCTION("IFERROR(INDEX(FILTER('棲息地'!$D$2:$D995, ISNUMBER(SEARCH($B109, '棲息地'!$D$2:$D995))), 2), """")"),"")</f>
        <v/>
      </c>
      <c r="L109" s="36" t="str">
        <f>IFERROR(__xludf.DUMMYFUNCTION("IFERROR(INDEX(FILTER('棲息地'!$D$2:$D995, ISNUMBER(SEARCH($B109, '棲息地'!$D$2:$D995))), 3), """")"),"")</f>
        <v/>
      </c>
      <c r="M109" s="36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22.5" customHeight="1">
      <c r="A110" s="33" t="s">
        <v>1420</v>
      </c>
      <c r="B110" s="34" t="s">
        <v>1421</v>
      </c>
      <c r="C110" s="35" t="s">
        <v>1422</v>
      </c>
      <c r="D110" s="34" t="s">
        <v>1080</v>
      </c>
      <c r="E110" s="35" t="s">
        <v>1093</v>
      </c>
      <c r="F110" s="35" t="s">
        <v>1423</v>
      </c>
      <c r="G110" s="35" t="s">
        <v>1129</v>
      </c>
      <c r="H110" s="36" t="str">
        <f>IFERROR(__xludf.DUMMYFUNCTION("IFERROR(INDEX(FILTER('棲息地'!$B$2:$B995 &amp; "" / "" &amp; '棲息地'!$C$2:$C995, ISNUMBER(SEARCH($B110, '棲息地'!$D$2:$D995))), 1), """")"),"布偶伴好眠 / 床鋪(任意) ×1")</f>
        <v>布偶伴好眠 / 床鋪(任意) ×1</v>
      </c>
      <c r="I110" s="36" t="str">
        <f>IFERROR(__xludf.DUMMYFUNCTION("IFERROR(INDEX(FILTER('棲息地'!$D$2:$D995, ISNUMBER(SEARCH($B110, '棲息地'!$D$2:$D995))), 1), """")"),"飄飄球、小卡比獸（空空鎮)")</f>
        <v>飄飄球、小卡比獸（空空鎮)</v>
      </c>
      <c r="J110" s="36" t="str">
        <f>IFERROR(__xludf.DUMMYFUNCTION("IFERROR(INDEX(FILTER('棲息地'!$B$2:$B995 &amp; "" / "" &amp; '棲息地'!$C$2:$C995, ISNUMBER(SEARCH($B110, '棲息地'!$D$2:$D995))), 2), """")"),"樹蔭下熟睡的卡比獸 / 大樹 ×1、打瞌睡床 ×1")</f>
        <v>樹蔭下熟睡的卡比獸 / 大樹 ×1、打瞌睡床 ×1</v>
      </c>
      <c r="K110" s="36" t="str">
        <f>IFERROR(__xludf.DUMMYFUNCTION("IFERROR(INDEX(FILTER('棲息地'!$D$2:$D995, ISNUMBER(SEARCH($B110, '棲息地'!$D$2:$D995))), 2), """")"),"小卡比獸（空空鎮)、卡比獸（空空鎮)")</f>
        <v>小卡比獸（空空鎮)、卡比獸（空空鎮)</v>
      </c>
      <c r="L110" s="36" t="str">
        <f>IFERROR(__xludf.DUMMYFUNCTION("IFERROR(INDEX(FILTER('棲息地'!$D$2:$D995, ISNUMBER(SEARCH($B110, '棲息地'!$D$2:$D995))), 3), """")"),"")</f>
        <v/>
      </c>
      <c r="M110" s="36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22.5" customHeight="1">
      <c r="A111" s="33" t="s">
        <v>1424</v>
      </c>
      <c r="B111" s="34" t="s">
        <v>1425</v>
      </c>
      <c r="C111" s="35" t="s">
        <v>1426</v>
      </c>
      <c r="D111" s="34" t="s">
        <v>1080</v>
      </c>
      <c r="E111" s="35" t="s">
        <v>1093</v>
      </c>
      <c r="F111" s="35" t="s">
        <v>1427</v>
      </c>
      <c r="G111" s="35" t="s">
        <v>1129</v>
      </c>
      <c r="H111" s="36" t="str">
        <f>IFERROR(__xludf.DUMMYFUNCTION("IFERROR(INDEX(FILTER('棲息地'!$B$2:$B995 &amp; "" / "" &amp; '棲息地'!$C$2:$C995, ISNUMBER(SEARCH($B111, '棲息地'!$D$2:$D995))), 1), """")"),"布偶伴好眠 / 床鋪(任意) ×1")</f>
        <v>布偶伴好眠 / 床鋪(任意) ×1</v>
      </c>
      <c r="I111" s="36" t="str">
        <f>IFERROR(__xludf.DUMMYFUNCTION("IFERROR(INDEX(FILTER('棲息地'!$D$2:$D995, ISNUMBER(SEARCH($B111, '棲息地'!$D$2:$D995))), 1), """")"),"飄飄球、小卡比獸（空空鎮)")</f>
        <v>飄飄球、小卡比獸（空空鎮)</v>
      </c>
      <c r="J111" s="36" t="str">
        <f>IFERROR(__xludf.DUMMYFUNCTION("IFERROR(INDEX(FILTER('棲息地'!$B$2:$B995 &amp; "" / "" &amp; '棲息地'!$C$2:$C995, ISNUMBER(SEARCH($B111, '棲息地'!$D$2:$D995))), 2), """")"),"樹蔭下熟睡的卡比獸 / 大樹 ×1、打瞌睡床 ×1")</f>
        <v>樹蔭下熟睡的卡比獸 / 大樹 ×1、打瞌睡床 ×1</v>
      </c>
      <c r="K111" s="36" t="str">
        <f>IFERROR(__xludf.DUMMYFUNCTION("IFERROR(INDEX(FILTER('棲息地'!$D$2:$D995, ISNUMBER(SEARCH($B111, '棲息地'!$D$2:$D995))), 2), """")"),"小卡比獸（空空鎮)、卡比獸（空空鎮)")</f>
        <v>小卡比獸（空空鎮)、卡比獸（空空鎮)</v>
      </c>
      <c r="L111" s="36" t="str">
        <f>IFERROR(__xludf.DUMMYFUNCTION("IFERROR(INDEX(FILTER('棲息地'!$D$2:$D995, ISNUMBER(SEARCH($B111, '棲息地'!$D$2:$D995))), 3), """")"),"雙彈瓦斯（★）、卡比獸（★）")</f>
        <v>雙彈瓦斯（★）、卡比獸（★）</v>
      </c>
      <c r="M111" s="36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22.5" customHeight="1">
      <c r="A112" s="33" t="s">
        <v>1424</v>
      </c>
      <c r="B112" s="35" t="s">
        <v>473</v>
      </c>
      <c r="C112" s="35" t="s">
        <v>1428</v>
      </c>
      <c r="D112" s="34" t="s">
        <v>1080</v>
      </c>
      <c r="E112" s="35" t="s">
        <v>1081</v>
      </c>
      <c r="F112" s="35" t="s">
        <v>1429</v>
      </c>
      <c r="G112" s="35" t="s">
        <v>1095</v>
      </c>
      <c r="H112" s="36" t="str">
        <f>IFERROR(__xludf.DUMMYFUNCTION("IFERROR(INDEX(FILTER('棲息地'!$B$2:$B995 &amp; "" / "" &amp; '棲息地'!$C$2:$C995, ISNUMBER(SEARCH($B112, '棲息地'!$D$2:$D995))), 1), """")"),"供奉美食 / (特殊組合)")</f>
        <v>供奉美食 / (特殊組合)</v>
      </c>
      <c r="I112" s="36" t="str">
        <f>IFERROR(__xludf.DUMMYFUNCTION("IFERROR(INDEX(FILTER('棲息地'!$D$2:$D995, ISNUMBER(SEARCH($B112, '棲息地'!$D$2:$D995))), 1), """")"),"苔卡比獸")</f>
        <v>苔卡比獸</v>
      </c>
      <c r="J112" s="36" t="str">
        <f>IFERROR(__xludf.DUMMYFUNCTION("IFERROR(INDEX(FILTER('棲息地'!$B$2:$B995 &amp; "" / "" &amp; '棲息地'!$C$2:$C995, ISNUMBER(SEARCH($B112, '棲息地'!$D$2:$D995))), 2), """")"),"")</f>
        <v/>
      </c>
      <c r="K112" s="36" t="str">
        <f>IFERROR(__xludf.DUMMYFUNCTION("IFERROR(INDEX(FILTER('棲息地'!$D$2:$D995, ISNUMBER(SEARCH($B112, '棲息地'!$D$2:$D995))), 2), """")"),"")</f>
        <v/>
      </c>
      <c r="L112" s="36" t="str">
        <f>IFERROR(__xludf.DUMMYFUNCTION("IFERROR(INDEX(FILTER('棲息地'!$D$2:$D995, ISNUMBER(SEARCH($B112, '棲息地'!$D$2:$D995))), 3), """")"),"")</f>
        <v/>
      </c>
      <c r="M112" s="36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22.5" customHeight="1">
      <c r="A113" s="33" t="s">
        <v>1430</v>
      </c>
      <c r="B113" s="34" t="s">
        <v>1431</v>
      </c>
      <c r="C113" s="35" t="s">
        <v>1265</v>
      </c>
      <c r="D113" s="35" t="s">
        <v>1432</v>
      </c>
      <c r="E113" s="35" t="s">
        <v>1103</v>
      </c>
      <c r="F113" s="35" t="s">
        <v>1433</v>
      </c>
      <c r="G113" s="35" t="s">
        <v>1125</v>
      </c>
      <c r="H113" s="36" t="str">
        <f>IFERROR(__xludf.DUMMYFUNCTION("IFERROR(INDEX(FILTER('棲息地'!$B$2:$B995 &amp; "" / "" &amp; '棲息地'!$C$2:$C995, ISNUMBER(SEARCH($B113, '棲息地'!$D$2:$D995))), 1), """")"),"黃色的草叢 / 黃草 ×4")</f>
        <v>黃色的草叢 / 黃草 ×4</v>
      </c>
      <c r="I113" s="36" t="str">
        <f>IFERROR(__xludf.DUMMYFUNCTION("IFERROR(INDEX(FILTER('棲息地'!$D$2:$D995, ISNUMBER(SEARCH($B113, '棲息地'!$D$2:$D995))), 1), """")"),"圓絲蛛、阿利多斯、強顎雞母蟲")</f>
        <v>圓絲蛛、阿利多斯、強顎雞母蟲</v>
      </c>
      <c r="J113" s="36" t="str">
        <f>IFERROR(__xludf.DUMMYFUNCTION("IFERROR(INDEX(FILTER('棲息地'!$B$2:$B995 &amp; "" / "" &amp; '棲息地'!$C$2:$C995, ISNUMBER(SEARCH($B113, '棲息地'!$D$2:$D995))), 2), """")"),"")</f>
        <v/>
      </c>
      <c r="K113" s="36" t="str">
        <f>IFERROR(__xludf.DUMMYFUNCTION("IFERROR(INDEX(FILTER('棲息地'!$D$2:$D995, ISNUMBER(SEARCH($B113, '棲息地'!$D$2:$D995))), 2), """")"),"")</f>
        <v/>
      </c>
      <c r="L113" s="36" t="str">
        <f>IFERROR(__xludf.DUMMYFUNCTION("IFERROR(INDEX(FILTER('棲息地'!$D$2:$D995, ISNUMBER(SEARCH($B113, '棲息地'!$D$2:$D995))), 3), """")"),"")</f>
        <v/>
      </c>
      <c r="M113" s="36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22.5" customHeight="1">
      <c r="A114" s="33" t="s">
        <v>1434</v>
      </c>
      <c r="B114" s="34" t="s">
        <v>1435</v>
      </c>
      <c r="C114" s="35" t="s">
        <v>1265</v>
      </c>
      <c r="D114" s="35" t="s">
        <v>1432</v>
      </c>
      <c r="E114" s="35" t="s">
        <v>1103</v>
      </c>
      <c r="F114" s="35" t="s">
        <v>1433</v>
      </c>
      <c r="G114" s="35" t="s">
        <v>1087</v>
      </c>
      <c r="H114" s="36" t="str">
        <f>IFERROR(__xludf.DUMMYFUNCTION("IFERROR(INDEX(FILTER('棲息地'!$B$2:$B995 &amp; "" / "" &amp; '棲息地'!$C$2:$C995, ISNUMBER(SEARCH($B114, '棲息地'!$D$2:$D995))), 1), """")"),"黃色的草叢 / 黃草 ×4")</f>
        <v>黃色的草叢 / 黃草 ×4</v>
      </c>
      <c r="I114" s="36" t="str">
        <f>IFERROR(__xludf.DUMMYFUNCTION("IFERROR(INDEX(FILTER('棲息地'!$D$2:$D995, ISNUMBER(SEARCH($B114, '棲息地'!$D$2:$D995))), 1), """")"),"圓絲蛛、阿利多斯、強顎雞母蟲")</f>
        <v>圓絲蛛、阿利多斯、強顎雞母蟲</v>
      </c>
      <c r="J114" s="36" t="str">
        <f>IFERROR(__xludf.DUMMYFUNCTION("IFERROR(INDEX(FILTER('棲息地'!$B$2:$B995 &amp; "" / "" &amp; '棲息地'!$C$2:$C995, ISNUMBER(SEARCH($B114, '棲息地'!$D$2:$D995))), 2), """")"),"")</f>
        <v/>
      </c>
      <c r="K114" s="36" t="str">
        <f>IFERROR(__xludf.DUMMYFUNCTION("IFERROR(INDEX(FILTER('棲息地'!$D$2:$D995, ISNUMBER(SEARCH($B114, '棲息地'!$D$2:$D995))), 2), """")"),"")</f>
        <v/>
      </c>
      <c r="L114" s="36" t="str">
        <f>IFERROR(__xludf.DUMMYFUNCTION("IFERROR(INDEX(FILTER('棲息地'!$D$2:$D995, ISNUMBER(SEARCH($B114, '棲息地'!$D$2:$D995))), 3), """")"),"")</f>
        <v/>
      </c>
      <c r="M114" s="36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22.5" customHeight="1">
      <c r="A115" s="33" t="s">
        <v>1436</v>
      </c>
      <c r="B115" s="34" t="s">
        <v>285</v>
      </c>
      <c r="C115" s="35" t="s">
        <v>1437</v>
      </c>
      <c r="D115" s="35" t="s">
        <v>1438</v>
      </c>
      <c r="E115" s="35" t="s">
        <v>1081</v>
      </c>
      <c r="F115" s="35" t="s">
        <v>1439</v>
      </c>
      <c r="G115" s="35" t="s">
        <v>1083</v>
      </c>
      <c r="H115" s="36" t="str">
        <f>IFERROR(__xludf.DUMMYFUNCTION("IFERROR(INDEX(FILTER('棲息地'!$B$2:$B995 &amp; "" / "" &amp; '棲息地'!$C$2:$C995, ISNUMBER(SEARCH($B115, '棲息地'!$D$2:$D995))), 1), """")"),"草叢的自動販賣機 / 黃草 ×4")</f>
        <v>草叢的自動販賣機 / 黃草 ×4</v>
      </c>
      <c r="I115" s="36" t="str">
        <f>IFERROR(__xludf.DUMMYFUNCTION("IFERROR(INDEX(FILTER('棲息地'!$D$2:$D995, ISNUMBER(SEARCH($B115, '棲息地'!$D$2:$D995))), 1), """")"),"咩利羊")</f>
        <v>咩利羊</v>
      </c>
      <c r="J115" s="36" t="str">
        <f>IFERROR(__xludf.DUMMYFUNCTION("IFERROR(INDEX(FILTER('棲息地'!$B$2:$B995 &amp; "" / "" &amp; '棲息地'!$C$2:$C995, ISNUMBER(SEARCH($B115, '棲息地'!$D$2:$D995))), 2), """")"),"用毛線來織東西吧 / 椅子 ×1、桌子 ×1、編織套組 ×1")</f>
        <v>用毛線來織東西吧 / 椅子 ×1、桌子 ×1、編織套組 ×1</v>
      </c>
      <c r="K115" s="36" t="str">
        <f>IFERROR(__xludf.DUMMYFUNCTION("IFERROR(INDEX(FILTER('棲息地'!$D$2:$D995, ISNUMBER(SEARCH($B115, '棲息地'!$D$2:$D995))), 2), """")"),"咩利羊、茸茸羊")</f>
        <v>咩利羊、茸茸羊</v>
      </c>
      <c r="L115" s="36" t="str">
        <f>IFERROR(__xludf.DUMMYFUNCTION("IFERROR(INDEX(FILTER('棲息地'!$D$2:$D995, ISNUMBER(SEARCH($B115, '棲息地'!$D$2:$D995))), 3), """")"),"")</f>
        <v/>
      </c>
      <c r="M115" s="36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22.5" customHeight="1">
      <c r="A116" s="33" t="s">
        <v>1440</v>
      </c>
      <c r="B116" s="34" t="s">
        <v>378</v>
      </c>
      <c r="C116" s="35" t="s">
        <v>1437</v>
      </c>
      <c r="D116" s="35" t="s">
        <v>1438</v>
      </c>
      <c r="E116" s="35" t="s">
        <v>1081</v>
      </c>
      <c r="F116" s="35" t="s">
        <v>1441</v>
      </c>
      <c r="G116" s="35" t="s">
        <v>1125</v>
      </c>
      <c r="H116" s="36" t="str">
        <f>IFERROR(__xludf.DUMMYFUNCTION("IFERROR(INDEX(FILTER('棲息地'!$B$2:$B995 &amp; "" / "" &amp; '棲息地'!$C$2:$C995, ISNUMBER(SEARCH($B116, '棲息地'!$D$2:$D995))), 1), """")"),"夜晚的慶典會場 / 氣球 ×2、雷丘告示牌 ×1")</f>
        <v>夜晚的慶典會場 / 氣球 ×2、雷丘告示牌 ×1</v>
      </c>
      <c r="I116" s="36" t="str">
        <f>IFERROR(__xludf.DUMMYFUNCTION("IFERROR(INDEX(FILTER('棲息地'!$D$2:$D995, ISNUMBER(SEARCH($B116, '棲息地'!$D$2:$D995))), 1), """")"),"茸茸羊")</f>
        <v>茸茸羊</v>
      </c>
      <c r="J116" s="36" t="str">
        <f>IFERROR(__xludf.DUMMYFUNCTION("IFERROR(INDEX(FILTER('棲息地'!$B$2:$B995 &amp; "" / "" &amp; '棲息地'!$C$2:$C995, ISNUMBER(SEARCH($B116, '棲息地'!$D$2:$D995))), 2), """")"),"用毛線來織東西吧 / 椅子 ×1、桌子 ×1、編織套組 ×1")</f>
        <v>用毛線來織東西吧 / 椅子 ×1、桌子 ×1、編織套組 ×1</v>
      </c>
      <c r="K116" s="36" t="str">
        <f>IFERROR(__xludf.DUMMYFUNCTION("IFERROR(INDEX(FILTER('棲息地'!$D$2:$D995, ISNUMBER(SEARCH($B116, '棲息地'!$D$2:$D995))), 2), """")"),"咩利羊、茸茸羊")</f>
        <v>咩利羊、茸茸羊</v>
      </c>
      <c r="L116" s="36" t="str">
        <f>IFERROR(__xludf.DUMMYFUNCTION("IFERROR(INDEX(FILTER('棲息地'!$D$2:$D995, ISNUMBER(SEARCH($B116, '棲息地'!$D$2:$D995))), 3), """")"),"")</f>
        <v/>
      </c>
      <c r="M116" s="36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22.5" customHeight="1">
      <c r="A117" s="33" t="s">
        <v>1442</v>
      </c>
      <c r="B117" s="34" t="s">
        <v>1443</v>
      </c>
      <c r="C117" s="35" t="s">
        <v>1444</v>
      </c>
      <c r="D117" s="34" t="s">
        <v>1080</v>
      </c>
      <c r="E117" s="35" t="s">
        <v>1081</v>
      </c>
      <c r="F117" s="35" t="s">
        <v>1445</v>
      </c>
      <c r="G117" s="35" t="s">
        <v>1087</v>
      </c>
      <c r="H117" s="36" t="str">
        <f>IFERROR(__xludf.DUMMYFUNCTION("IFERROR(INDEX(FILTER('棲息地'!$B$2:$B995 &amp; "" / "" &amp; '棲息地'!$C$2:$C995, ISNUMBER(SEARCH($B117, '棲息地'!$D$2:$D995))), 1), """")"),"自然風格的生活 / 自然風桌子/床鋪/檯燈/沙發 各1")</f>
        <v>自然風格的生活 / 自然風桌子/床鋪/檯燈/沙發 各1</v>
      </c>
      <c r="I117" s="36" t="str">
        <f>IFERROR(__xludf.DUMMYFUNCTION("IFERROR(INDEX(FILTER('棲息地'!$D$2:$D995, ISNUMBER(SEARCH($B117, '棲息地'!$D$2:$D995))), 1), """")"),"電龍（★★）")</f>
        <v>電龍（★★）</v>
      </c>
      <c r="J117" s="36" t="str">
        <f>IFERROR(__xludf.DUMMYFUNCTION("IFERROR(INDEX(FILTER('棲息地'!$B$2:$B995 &amp; "" / "" &amp; '棲息地'!$C$2:$C995, ISNUMBER(SEARCH($B117, '棲息地'!$D$2:$D995))), 2), """")"),"")</f>
        <v/>
      </c>
      <c r="K117" s="36" t="str">
        <f>IFERROR(__xludf.DUMMYFUNCTION("IFERROR(INDEX(FILTER('棲息地'!$D$2:$D995, ISNUMBER(SEARCH($B117, '棲息地'!$D$2:$D995))), 2), """")"),"")</f>
        <v/>
      </c>
      <c r="L117" s="36" t="str">
        <f>IFERROR(__xludf.DUMMYFUNCTION("IFERROR(INDEX(FILTER('棲息地'!$D$2:$D995, ISNUMBER(SEARCH($B117, '棲息地'!$D$2:$D995))), 3), """")"),"")</f>
        <v/>
      </c>
      <c r="M117" s="36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22.5" customHeight="1">
      <c r="A118" s="33" t="s">
        <v>1446</v>
      </c>
      <c r="B118" s="34" t="s">
        <v>1447</v>
      </c>
      <c r="C118" s="35" t="s">
        <v>1448</v>
      </c>
      <c r="D118" s="34" t="s">
        <v>1080</v>
      </c>
      <c r="E118" s="35" t="s">
        <v>1103</v>
      </c>
      <c r="F118" s="35" t="s">
        <v>1449</v>
      </c>
      <c r="G118" s="35" t="s">
        <v>1087</v>
      </c>
      <c r="H118" s="36" t="str">
        <f>IFERROR(__xludf.DUMMYFUNCTION("IFERROR(INDEX(FILTER('棲息地'!$B$2:$B995 &amp; "" / "" &amp; '棲息地'!$C$2:$C995, ISNUMBER(SEARCH($B118, '棲息地'!$D$2:$D995))), 1), """")"),"濕潤的黃色草叢 / 黃草 ×4、水 ×2")</f>
        <v>濕潤的黃色草叢 / 黃草 ×4、水 ×2</v>
      </c>
      <c r="I118" s="36" t="str">
        <f>IFERROR(__xludf.DUMMYFUNCTION("IFERROR(INDEX(FILTER('棲息地'!$D$2:$D995, ISNUMBER(SEARCH($B118, '棲息地'!$D$2:$D995))), 1), """")"),"露力麗、瑪力露、波加曼、波皇子")</f>
        <v>露力麗、瑪力露、波加曼、波皇子</v>
      </c>
      <c r="J118" s="36" t="str">
        <f>IFERROR(__xludf.DUMMYFUNCTION("IFERROR(INDEX(FILTER('棲息地'!$B$2:$B995 &amp; "" / "" &amp; '棲息地'!$C$2:$C995, ISNUMBER(SEARCH($B118, '棲息地'!$D$2:$D995))), 2), """")"),"")</f>
        <v/>
      </c>
      <c r="K118" s="36" t="str">
        <f>IFERROR(__xludf.DUMMYFUNCTION("IFERROR(INDEX(FILTER('棲息地'!$D$2:$D995, ISNUMBER(SEARCH($B118, '棲息地'!$D$2:$D995))), 2), """")"),"")</f>
        <v/>
      </c>
      <c r="L118" s="36" t="str">
        <f>IFERROR(__xludf.DUMMYFUNCTION("IFERROR(INDEX(FILTER('棲息地'!$D$2:$D995, ISNUMBER(SEARCH($B118, '棲息地'!$D$2:$D995))), 3), """")"),"")</f>
        <v/>
      </c>
      <c r="M118" s="36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22.5" customHeight="1">
      <c r="A119" s="33" t="s">
        <v>1450</v>
      </c>
      <c r="B119" s="34" t="s">
        <v>1451</v>
      </c>
      <c r="C119" s="35" t="s">
        <v>1448</v>
      </c>
      <c r="D119" s="34" t="s">
        <v>1080</v>
      </c>
      <c r="E119" s="35" t="s">
        <v>1103</v>
      </c>
      <c r="F119" s="35" t="s">
        <v>1452</v>
      </c>
      <c r="G119" s="35" t="s">
        <v>1087</v>
      </c>
      <c r="H119" s="36" t="str">
        <f>IFERROR(__xludf.DUMMYFUNCTION("IFERROR(INDEX(FILTER('棲息地'!$B$2:$B995 &amp; "" / "" &amp; '棲息地'!$C$2:$C995, ISNUMBER(SEARCH($B119, '棲息地'!$D$2:$D995))), 1), """")"),"濕潤的黃色草叢 / 黃草 ×4、水 ×2")</f>
        <v>濕潤的黃色草叢 / 黃草 ×4、水 ×2</v>
      </c>
      <c r="I119" s="36" t="str">
        <f>IFERROR(__xludf.DUMMYFUNCTION("IFERROR(INDEX(FILTER('棲息地'!$D$2:$D995, ISNUMBER(SEARCH($B119, '棲息地'!$D$2:$D995))), 1), """")"),"露力麗、瑪力露、波加曼、波皇子")</f>
        <v>露力麗、瑪力露、波加曼、波皇子</v>
      </c>
      <c r="J119" s="36" t="str">
        <f>IFERROR(__xludf.DUMMYFUNCTION("IFERROR(INDEX(FILTER('棲息地'!$B$2:$B995 &amp; "" / "" &amp; '棲息地'!$C$2:$C995, ISNUMBER(SEARCH($B119, '棲息地'!$D$2:$D995))), 2), """")"),"碼頭 / 棧橋 ×4、路燈 ×1、海水 ×2")</f>
        <v>碼頭 / 棧橋 ×4、路燈 ×1、海水 ×2</v>
      </c>
      <c r="K119" s="36" t="str">
        <f>IFERROR(__xludf.DUMMYFUNCTION("IFERROR(INDEX(FILTER('棲息地'!$D$2:$D995, ISNUMBER(SEARCH($B119, '棲息地'!$D$2:$D995))), 2), """")"),"瑪力露、瑪力露麗")</f>
        <v>瑪力露、瑪力露麗</v>
      </c>
      <c r="L119" s="36" t="str">
        <f>IFERROR(__xludf.DUMMYFUNCTION("IFERROR(INDEX(FILTER('棲息地'!$D$2:$D995, ISNUMBER(SEARCH($B119, '棲息地'!$D$2:$D995))), 3), """")"),"")</f>
        <v/>
      </c>
      <c r="M119" s="36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22.5" customHeight="1">
      <c r="A120" s="33" t="s">
        <v>1453</v>
      </c>
      <c r="B120" s="34" t="s">
        <v>1454</v>
      </c>
      <c r="C120" s="35" t="s">
        <v>1455</v>
      </c>
      <c r="D120" s="34" t="s">
        <v>1080</v>
      </c>
      <c r="E120" s="35" t="s">
        <v>1103</v>
      </c>
      <c r="F120" s="35" t="s">
        <v>1456</v>
      </c>
      <c r="G120" s="35" t="s">
        <v>1087</v>
      </c>
      <c r="H120" s="36" t="str">
        <f>IFERROR(__xludf.DUMMYFUNCTION("IFERROR(INDEX(FILTER('棲息地'!$B$2:$B995 &amp; "" / "" &amp; '棲息地'!$C$2:$C995, ISNUMBER(SEARCH($B120, '棲息地'!$D$2:$D995))), 1), """")"),"碼頭 / 棧橋 ×4、路燈 ×1、海水 ×2")</f>
        <v>碼頭 / 棧橋 ×4、路燈 ×1、海水 ×2</v>
      </c>
      <c r="I120" s="36" t="str">
        <f>IFERROR(__xludf.DUMMYFUNCTION("IFERROR(INDEX(FILTER('棲息地'!$D$2:$D995, ISNUMBER(SEARCH($B120, '棲息地'!$D$2:$D995))), 1), """")"),"瑪力露、瑪力露麗")</f>
        <v>瑪力露、瑪力露麗</v>
      </c>
      <c r="J120" s="36" t="str">
        <f>IFERROR(__xludf.DUMMYFUNCTION("IFERROR(INDEX(FILTER('棲息地'!$B$2:$B995 &amp; "" / "" &amp; '棲息地'!$C$2:$C995, ISNUMBER(SEARCH($B120, '棲息地'!$D$2:$D995))), 2), """")"),"")</f>
        <v/>
      </c>
      <c r="K120" s="36" t="str">
        <f>IFERROR(__xludf.DUMMYFUNCTION("IFERROR(INDEX(FILTER('棲息地'!$D$2:$D995, ISNUMBER(SEARCH($B120, '棲息地'!$D$2:$D995))), 2), """")"),"")</f>
        <v/>
      </c>
      <c r="L120" s="36" t="str">
        <f>IFERROR(__xludf.DUMMYFUNCTION("IFERROR(INDEX(FILTER('棲息地'!$D$2:$D995, ISNUMBER(SEARCH($B120, '棲息地'!$D$2:$D995))), 3), """")"),"")</f>
        <v/>
      </c>
      <c r="M120" s="36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22.5" customHeight="1">
      <c r="A121" s="33" t="s">
        <v>1457</v>
      </c>
      <c r="B121" s="35" t="s">
        <v>1458</v>
      </c>
      <c r="C121" s="35" t="s">
        <v>1265</v>
      </c>
      <c r="D121" s="35" t="s">
        <v>1459</v>
      </c>
      <c r="E121" s="35" t="s">
        <v>1103</v>
      </c>
      <c r="F121" s="35" t="s">
        <v>1460</v>
      </c>
      <c r="G121" s="35" t="s">
        <v>1087</v>
      </c>
      <c r="H121" s="36" t="str">
        <f>IFERROR(__xludf.DUMMYFUNCTION("IFERROR(INDEX(FILTER('棲息地'!$B$2:$B995 &amp; "" / "" &amp; '棲息地'!$C$2:$C995, ISNUMBER(SEARCH($B121, '棲息地'!$D$2:$D995))), 1), """")"),"沼澤的草叢 / 黃草 ×4")</f>
        <v>沼澤的草叢 / 黃草 ×4</v>
      </c>
      <c r="I121" s="36" t="str">
        <f>IFERROR(__xludf.DUMMYFUNCTION("IFERROR(INDEX(FILTER('棲息地'!$D$2:$D995, ISNUMBER(SEARCH($B121, '棲息地'!$D$2:$D995))), 1), """")"),"帕底亞烏波(暗沉沉海邊)、土王")</f>
        <v>帕底亞烏波(暗沉沉海邊)、土王</v>
      </c>
      <c r="J121" s="36" t="str">
        <f>IFERROR(__xludf.DUMMYFUNCTION("IFERROR(INDEX(FILTER('棲息地'!$B$2:$B995 &amp; "" / "" &amp; '棲息地'!$C$2:$C995, ISNUMBER(SEARCH($B121, '棲息地'!$D$2:$D995))), 2), """")"),"")</f>
        <v/>
      </c>
      <c r="K121" s="36" t="str">
        <f>IFERROR(__xludf.DUMMYFUNCTION("IFERROR(INDEX(FILTER('棲息地'!$D$2:$D995, ISNUMBER(SEARCH($B121, '棲息地'!$D$2:$D995))), 2), """")"),"")</f>
        <v/>
      </c>
      <c r="L121" s="36" t="str">
        <f>IFERROR(__xludf.DUMMYFUNCTION("IFERROR(INDEX(FILTER('棲息地'!$D$2:$D995, ISNUMBER(SEARCH($B121, '棲息地'!$D$2:$D995))), 3), """")"),"")</f>
        <v/>
      </c>
      <c r="M121" s="36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22.5" customHeight="1">
      <c r="A122" s="33" t="s">
        <v>1461</v>
      </c>
      <c r="B122" s="34" t="s">
        <v>1462</v>
      </c>
      <c r="C122" s="35" t="s">
        <v>1463</v>
      </c>
      <c r="D122" s="35" t="s">
        <v>1459</v>
      </c>
      <c r="E122" s="35" t="s">
        <v>1103</v>
      </c>
      <c r="F122" s="35" t="s">
        <v>1464</v>
      </c>
      <c r="G122" s="35" t="s">
        <v>1125</v>
      </c>
      <c r="H122" s="36" t="str">
        <f>IFERROR(__xludf.DUMMYFUNCTION("IFERROR(INDEX(FILTER('棲息地'!$B$2:$B995 &amp; "" / "" &amp; '棲息地'!$C$2:$C995, ISNUMBER(SEARCH($B122, '棲息地'!$D$2:$D995))), 1), """")"),"沼澤的草叢 / 黃草 ×4")</f>
        <v>沼澤的草叢 / 黃草 ×4</v>
      </c>
      <c r="I122" s="36" t="str">
        <f>IFERROR(__xludf.DUMMYFUNCTION("IFERROR(INDEX(FILTER('棲息地'!$D$2:$D995, ISNUMBER(SEARCH($B122, '棲息地'!$D$2:$D995))), 1), """")"),"帕底亞烏波(暗沉沉海邊)、土王")</f>
        <v>帕底亞烏波(暗沉沉海邊)、土王</v>
      </c>
      <c r="J122" s="36" t="str">
        <f>IFERROR(__xludf.DUMMYFUNCTION("IFERROR(INDEX(FILTER('棲息地'!$B$2:$B995 &amp; "" / "" &amp; '棲息地'!$C$2:$C995, ISNUMBER(SEARCH($B122, '棲息地'!$D$2:$D995))), 2), """")"),"")</f>
        <v/>
      </c>
      <c r="K122" s="36" t="str">
        <f>IFERROR(__xludf.DUMMYFUNCTION("IFERROR(INDEX(FILTER('棲息地'!$D$2:$D995, ISNUMBER(SEARCH($B122, '棲息地'!$D$2:$D995))), 2), """")"),"")</f>
        <v/>
      </c>
      <c r="L122" s="36" t="str">
        <f>IFERROR(__xludf.DUMMYFUNCTION("IFERROR(INDEX(FILTER('棲息地'!$D$2:$D995, ISNUMBER(SEARCH($B122, '棲息地'!$D$2:$D995))), 3), """")"),"")</f>
        <v/>
      </c>
      <c r="M122" s="36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22.5" customHeight="1">
      <c r="A123" s="33" t="s">
        <v>1465</v>
      </c>
      <c r="B123" s="34" t="s">
        <v>1466</v>
      </c>
      <c r="C123" s="35" t="s">
        <v>1467</v>
      </c>
      <c r="D123" s="34" t="s">
        <v>1080</v>
      </c>
      <c r="E123" s="35" t="s">
        <v>1081</v>
      </c>
      <c r="F123" s="35" t="s">
        <v>1468</v>
      </c>
      <c r="G123" s="35" t="s">
        <v>1129</v>
      </c>
      <c r="H123" s="36" t="str">
        <f>IFERROR(__xludf.DUMMYFUNCTION("IFERROR(INDEX(FILTER('棲息地'!$B$2:$B995 &amp; "" / "" &amp; '棲息地'!$C$2:$C995, ISNUMBER(SEARCH($B123, '棲息地'!$D$2:$D995))), 1), """")"),"小小畫室 / 椅子 ×1、畫布 ×1")</f>
        <v>小小畫室 / 椅子 ×1、畫布 ×1</v>
      </c>
      <c r="I123" s="36" t="str">
        <f>IFERROR(__xludf.DUMMYFUNCTION("IFERROR(INDEX(FILTER('棲息地'!$D$2:$D995, ISNUMBER(SEARCH($B123, '棲息地'!$D$2:$D995))), 1), """")"),"圖圖犬(彩繪)（★）")</f>
        <v>圖圖犬(彩繪)（★）</v>
      </c>
      <c r="J123" s="36" t="str">
        <f>IFERROR(__xludf.DUMMYFUNCTION("IFERROR(INDEX(FILTER('棲息地'!$B$2:$B995 &amp; "" / "" &amp; '棲息地'!$C$2:$C995, ISNUMBER(SEARCH($B123, '棲息地'!$D$2:$D995))), 2), """")"),"")</f>
        <v/>
      </c>
      <c r="K123" s="36" t="str">
        <f>IFERROR(__xludf.DUMMYFUNCTION("IFERROR(INDEX(FILTER('棲息地'!$D$2:$D995, ISNUMBER(SEARCH($B123, '棲息地'!$D$2:$D995))), 2), """")"),"")</f>
        <v/>
      </c>
      <c r="L123" s="36" t="str">
        <f>IFERROR(__xludf.DUMMYFUNCTION("IFERROR(INDEX(FILTER('棲息地'!$D$2:$D995, ISNUMBER(SEARCH($B123, '棲息地'!$D$2:$D995))), 3), """")"),"")</f>
        <v/>
      </c>
      <c r="M123" s="36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22.5" customHeight="1">
      <c r="A124" s="33" t="s">
        <v>1469</v>
      </c>
      <c r="B124" s="34" t="s">
        <v>1470</v>
      </c>
      <c r="C124" s="35" t="s">
        <v>2</v>
      </c>
      <c r="D124" s="34" t="s">
        <v>1080</v>
      </c>
      <c r="E124" s="35" t="s">
        <v>1093</v>
      </c>
      <c r="F124" s="35" t="s">
        <v>1471</v>
      </c>
      <c r="G124" s="35" t="s">
        <v>1083</v>
      </c>
      <c r="H124" s="36" t="str">
        <f>IFERROR(__xludf.DUMMYFUNCTION("IFERROR(INDEX(FILTER('棲息地'!$B$2:$B995 &amp; "" / "" &amp; '棲息地'!$C$2:$C995, ISNUMBER(SEARCH($B124, '棲息地'!$D$2:$D995))), 1), """")"),"咕咕啾啾大餐 / 木製鳥巢箱 ×1、桌子 ×1、盤子上的食物 ×1")</f>
        <v>咕咕啾啾大餐 / 木製鳥巢箱 ×1、桌子 ×1、盤子上的食物 ×1</v>
      </c>
      <c r="I124" s="36" t="str">
        <f>IFERROR(__xludf.DUMMYFUNCTION("IFERROR(INDEX(FILTER('棲息地'!$D$2:$D995, ISNUMBER(SEARCH($B124, '棲息地'!$D$2:$D995))), 1), """")"),"火雉雞、火焰雞")</f>
        <v>火雉雞、火焰雞</v>
      </c>
      <c r="J124" s="36" t="str">
        <f>IFERROR(__xludf.DUMMYFUNCTION("IFERROR(INDEX(FILTER('棲息地'!$B$2:$B995 &amp; "" / "" &amp; '棲息地'!$C$2:$C995, ISNUMBER(SEARCH($B124, '棲息地'!$D$2:$D995))), 2), """")"),"度假區的備餐時刻 / 椰子樹 ×1、椅子 ×1、盤子食物 ×1、營火 ×1")</f>
        <v>度假區的備餐時刻 / 椰子樹 ×1、椅子 ×1、盤子食物 ×1、營火 ×1</v>
      </c>
      <c r="K124" s="36" t="str">
        <f>IFERROR(__xludf.DUMMYFUNCTION("IFERROR(INDEX(FILTER('棲息地'!$D$2:$D995, ISNUMBER(SEARCH($B124, '棲息地'!$D$2:$D995))), 2), """")"),"火雉雞、卡蒂狗")</f>
        <v>火雉雞、卡蒂狗</v>
      </c>
      <c r="L124" s="36" t="str">
        <f>IFERROR(__xludf.DUMMYFUNCTION("IFERROR(INDEX(FILTER('棲息地'!$D$2:$D995, ISNUMBER(SEARCH($B124, '棲息地'!$D$2:$D995))), 3), """")"),"")</f>
        <v/>
      </c>
      <c r="M124" s="36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22.5" customHeight="1">
      <c r="A125" s="33" t="s">
        <v>1472</v>
      </c>
      <c r="B125" s="34" t="s">
        <v>1473</v>
      </c>
      <c r="C125" s="35" t="s">
        <v>1474</v>
      </c>
      <c r="D125" s="34" t="s">
        <v>1080</v>
      </c>
      <c r="E125" s="35" t="s">
        <v>1093</v>
      </c>
      <c r="F125" s="35" t="s">
        <v>1475</v>
      </c>
      <c r="G125" s="35" t="s">
        <v>1095</v>
      </c>
      <c r="H125" s="36" t="str">
        <f>IFERROR(__xludf.DUMMYFUNCTION("IFERROR(INDEX(FILTER('棲息地'!$B$2:$B995 &amp; "" / "" &amp; '棲息地'!$C$2:$C995, ISNUMBER(SEARCH($B125, '棲息地'!$D$2:$D995))), 1), """")"),"火力發電廠 / 金屬桶 x1、火力發電機 x1")</f>
        <v>火力發電廠 / 金屬桶 x1、火力發電機 x1</v>
      </c>
      <c r="I125" s="36" t="str">
        <f>IFERROR(__xludf.DUMMYFUNCTION("IFERROR(INDEX(FILTER('棲息地'!$D$2:$D995, ISNUMBER(SEARCH($B125, '棲息地'!$D$2:$D995))), 1), """")"),"力壯雞、火焰雞")</f>
        <v>力壯雞、火焰雞</v>
      </c>
      <c r="J125" s="36" t="str">
        <f>IFERROR(__xludf.DUMMYFUNCTION("IFERROR(INDEX(FILTER('棲息地'!$B$2:$B995 &amp; "" / "" &amp; '棲息地'!$C$2:$C995, ISNUMBER(SEARCH($B125, '棲息地'!$D$2:$D995))), 2), """")"),"")</f>
        <v/>
      </c>
      <c r="K125" s="36" t="str">
        <f>IFERROR(__xludf.DUMMYFUNCTION("IFERROR(INDEX(FILTER('棲息地'!$D$2:$D995, ISNUMBER(SEARCH($B125, '棲息地'!$D$2:$D995))), 2), """")"),"")</f>
        <v/>
      </c>
      <c r="L125" s="36" t="str">
        <f>IFERROR(__xludf.DUMMYFUNCTION("IFERROR(INDEX(FILTER('棲息地'!$D$2:$D995, ISNUMBER(SEARCH($B125, '棲息地'!$D$2:$D995))), 3), """")"),"")</f>
        <v/>
      </c>
      <c r="M125" s="36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22.5" customHeight="1">
      <c r="A126" s="33" t="s">
        <v>1476</v>
      </c>
      <c r="B126" s="34" t="s">
        <v>1477</v>
      </c>
      <c r="C126" s="35" t="s">
        <v>1474</v>
      </c>
      <c r="D126" s="34" t="s">
        <v>1080</v>
      </c>
      <c r="E126" s="35" t="s">
        <v>1093</v>
      </c>
      <c r="F126" s="35" t="s">
        <v>1478</v>
      </c>
      <c r="G126" s="35" t="s">
        <v>1095</v>
      </c>
      <c r="H126" s="36" t="str">
        <f>IFERROR(__xludf.DUMMYFUNCTION("IFERROR(INDEX(FILTER('棲息地'!$B$2:$B995 &amp; "" / "" &amp; '棲息地'!$C$2:$C995, ISNUMBER(SEARCH($B126, '棲息地'!$D$2:$D995))), 1), """")"),"咕咕啾啾大餐 / 木製鳥巢箱 ×1、桌子 ×1、盤子上的食物 ×1")</f>
        <v>咕咕啾啾大餐 / 木製鳥巢箱 ×1、桌子 ×1、盤子上的食物 ×1</v>
      </c>
      <c r="I126" s="36" t="str">
        <f>IFERROR(__xludf.DUMMYFUNCTION("IFERROR(INDEX(FILTER('棲息地'!$D$2:$D995, ISNUMBER(SEARCH($B126, '棲息地'!$D$2:$D995))), 1), """")"),"火雉雞、火焰雞")</f>
        <v>火雉雞、火焰雞</v>
      </c>
      <c r="J126" s="36" t="str">
        <f>IFERROR(__xludf.DUMMYFUNCTION("IFERROR(INDEX(FILTER('棲息地'!$B$2:$B995 &amp; "" / "" &amp; '棲息地'!$C$2:$C995, ISNUMBER(SEARCH($B126, '棲息地'!$D$2:$D995))), 2), """")"),"火力發電廠 / 金屬桶 x1、火力發電機 x1")</f>
        <v>火力發電廠 / 金屬桶 x1、火力發電機 x1</v>
      </c>
      <c r="K126" s="36" t="str">
        <f>IFERROR(__xludf.DUMMYFUNCTION("IFERROR(INDEX(FILTER('棲息地'!$D$2:$D995, ISNUMBER(SEARCH($B126, '棲息地'!$D$2:$D995))), 2), """")"),"力壯雞、火焰雞")</f>
        <v>力壯雞、火焰雞</v>
      </c>
      <c r="L126" s="36" t="str">
        <f>IFERROR(__xludf.DUMMYFUNCTION("IFERROR(INDEX(FILTER('棲息地'!$D$2:$D995, ISNUMBER(SEARCH($B126, '棲息地'!$D$2:$D995))), 3), """")"),"")</f>
        <v/>
      </c>
      <c r="M126" s="36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22.5" customHeight="1">
      <c r="A127" s="33" t="s">
        <v>1479</v>
      </c>
      <c r="B127" s="34" t="s">
        <v>1480</v>
      </c>
      <c r="C127" s="35" t="s">
        <v>1328</v>
      </c>
      <c r="D127" s="34" t="s">
        <v>1080</v>
      </c>
      <c r="E127" s="35" t="s">
        <v>1103</v>
      </c>
      <c r="F127" s="35" t="s">
        <v>1481</v>
      </c>
      <c r="G127" s="35" t="s">
        <v>1129</v>
      </c>
      <c r="H127" s="36" t="str">
        <f>IFERROR(__xludf.DUMMYFUNCTION("IFERROR(INDEX(FILTER('棲息地'!$B$2:$B995 &amp; "" / "" &amp; '棲息地'!$C$2:$C995, ISNUMBER(SEARCH($B127, '棲息地'!$D$2:$D995))), 1), """")"),"高崗的黃色草叢 / 黃草 ×4、高處 ×1")</f>
        <v>高崗的黃色草叢 / 黃草 ×4、高處 ×1</v>
      </c>
      <c r="I127" s="36" t="str">
        <f>IFERROR(__xludf.DUMMYFUNCTION("IFERROR(INDEX(FILTER('棲息地'!$D$2:$D995, ISNUMBER(SEARCH($B127, '棲息地'!$D$2:$D995))), 1), """")"),"長翅鷗、大嘴鷗")</f>
        <v>長翅鷗、大嘴鷗</v>
      </c>
      <c r="J127" s="36" t="str">
        <f>IFERROR(__xludf.DUMMYFUNCTION("IFERROR(INDEX(FILTER('棲息地'!$B$2:$B995 &amp; "" / "" &amp; '棲息地'!$C$2:$C995, ISNUMBER(SEARCH($B127, '棲息地'!$D$2:$D995))), 2), """")"),"風之花田 / 海邊之花 ×4")</f>
        <v>風之花田 / 海邊之花 ×4</v>
      </c>
      <c r="K127" s="36" t="str">
        <f>IFERROR(__xludf.DUMMYFUNCTION("IFERROR(INDEX(FILTER('棲息地'!$D$2:$D995, ISNUMBER(SEARCH($B127, '棲息地'!$D$2:$D995))), 2), """")"),"長翅鷗、大嘴鷗")</f>
        <v>長翅鷗、大嘴鷗</v>
      </c>
      <c r="L127" s="36" t="str">
        <f>IFERROR(__xludf.DUMMYFUNCTION("IFERROR(INDEX(FILTER('棲息地'!$D$2:$D995, ISNUMBER(SEARCH($B127, '棲息地'!$D$2:$D995))), 3), """")"),"")</f>
        <v/>
      </c>
      <c r="M127" s="36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22.5" customHeight="1">
      <c r="A128" s="33" t="s">
        <v>1482</v>
      </c>
      <c r="B128" s="34" t="s">
        <v>1483</v>
      </c>
      <c r="C128" s="35" t="s">
        <v>1328</v>
      </c>
      <c r="D128" s="34" t="s">
        <v>1080</v>
      </c>
      <c r="E128" s="35" t="s">
        <v>1103</v>
      </c>
      <c r="F128" s="35" t="s">
        <v>1481</v>
      </c>
      <c r="G128" s="35" t="s">
        <v>1129</v>
      </c>
      <c r="H128" s="36" t="str">
        <f>IFERROR(__xludf.DUMMYFUNCTION("IFERROR(INDEX(FILTER('棲息地'!$B$2:$B995 &amp; "" / "" &amp; '棲息地'!$C$2:$C995, ISNUMBER(SEARCH($B128, '棲息地'!$D$2:$D995))), 1), """")"),"高崗的黃色草叢 / 黃草 ×4、高處 ×1")</f>
        <v>高崗的黃色草叢 / 黃草 ×4、高處 ×1</v>
      </c>
      <c r="I128" s="36" t="str">
        <f>IFERROR(__xludf.DUMMYFUNCTION("IFERROR(INDEX(FILTER('棲息地'!$D$2:$D995, ISNUMBER(SEARCH($B128, '棲息地'!$D$2:$D995))), 1), """")"),"長翅鷗、大嘴鷗")</f>
        <v>長翅鷗、大嘴鷗</v>
      </c>
      <c r="J128" s="36" t="str">
        <f>IFERROR(__xludf.DUMMYFUNCTION("IFERROR(INDEX(FILTER('棲息地'!$B$2:$B995 &amp; "" / "" &amp; '棲息地'!$C$2:$C995, ISNUMBER(SEARCH($B128, '棲息地'!$D$2:$D995))), 2), """")"),"風之花田 / 海邊之花 ×4")</f>
        <v>風之花田 / 海邊之花 ×4</v>
      </c>
      <c r="K128" s="36" t="str">
        <f>IFERROR(__xludf.DUMMYFUNCTION("IFERROR(INDEX(FILTER('棲息地'!$D$2:$D995, ISNUMBER(SEARCH($B128, '棲息地'!$D$2:$D995))), 2), """")"),"長翅鷗、大嘴鷗")</f>
        <v>長翅鷗、大嘴鷗</v>
      </c>
      <c r="L128" s="36" t="str">
        <f>IFERROR(__xludf.DUMMYFUNCTION("IFERROR(INDEX(FILTER('棲息地'!$D$2:$D995, ISNUMBER(SEARCH($B128, '棲息地'!$D$2:$D995))), 3), """")"),"")</f>
        <v/>
      </c>
      <c r="M128" s="36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22.5" customHeight="1">
      <c r="A129" s="33" t="s">
        <v>1484</v>
      </c>
      <c r="B129" s="34" t="s">
        <v>1485</v>
      </c>
      <c r="C129" s="35" t="s">
        <v>1486</v>
      </c>
      <c r="D129" s="34" t="s">
        <v>1080</v>
      </c>
      <c r="E129" s="35" t="s">
        <v>1081</v>
      </c>
      <c r="F129" s="35" t="s">
        <v>1487</v>
      </c>
      <c r="G129" s="35" t="s">
        <v>1083</v>
      </c>
      <c r="H129" s="36" t="str">
        <f>IFERROR(__xludf.DUMMYFUNCTION("IFERROR(INDEX(FILTER('棲息地'!$B$2:$B995 &amp; "" / "" &amp; '棲息地'!$C$2:$C995, ISNUMBER(SEARCH($B129, '棲息地'!$D$2:$D995))), 1), """")"),"樹蔭的黃色草叢 / 大樹 ×1、黃草 ×4")</f>
        <v>樹蔭的黃色草叢 / 大樹 ×1、黃草 ×4</v>
      </c>
      <c r="I129" s="36" t="str">
        <f>IFERROR(__xludf.DUMMYFUNCTION("IFERROR(INDEX(FILTER('棲息地'!$D$2:$D995, ISNUMBER(SEARCH($B129, '棲息地'!$D$2:$D995))), 1), """")"),"幕下力士、超音蝠、大嘴蝠、鐵掌力士")</f>
        <v>幕下力士、超音蝠、大嘴蝠、鐵掌力士</v>
      </c>
      <c r="J129" s="36" t="str">
        <f>IFERROR(__xludf.DUMMYFUNCTION("IFERROR(INDEX(FILTER('棲息地'!$B$2:$B995 &amp; "" / "" &amp; '棲息地'!$C$2:$C995, ISNUMBER(SEARCH($B129, '棲息地'!$D$2:$D995))), 2), """")"),"打包好囉 / 手推車 ×1、紙箱 ×2")</f>
        <v>打包好囉 / 手推車 ×1、紙箱 ×2</v>
      </c>
      <c r="K129" s="36" t="str">
        <f>IFERROR(__xludf.DUMMYFUNCTION("IFERROR(INDEX(FILTER('棲息地'!$D$2:$D995, ISNUMBER(SEARCH($B129, '棲息地'!$D$2:$D995))), 2), """")"),"幕下力士、大蔥鴨")</f>
        <v>幕下力士、大蔥鴨</v>
      </c>
      <c r="L129" s="36" t="str">
        <f>IFERROR(__xludf.DUMMYFUNCTION("IFERROR(INDEX(FILTER('棲息地'!$D$2:$D995, ISNUMBER(SEARCH($B129, '棲息地'!$D$2:$D995))), 3), """")"),"")</f>
        <v/>
      </c>
      <c r="M129" s="36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22.5" customHeight="1">
      <c r="A130" s="33" t="s">
        <v>1488</v>
      </c>
      <c r="B130" s="34" t="s">
        <v>1489</v>
      </c>
      <c r="C130" s="35" t="s">
        <v>1486</v>
      </c>
      <c r="D130" s="34" t="s">
        <v>1080</v>
      </c>
      <c r="E130" s="35" t="s">
        <v>1081</v>
      </c>
      <c r="F130" s="35" t="s">
        <v>1490</v>
      </c>
      <c r="G130" s="35" t="s">
        <v>1095</v>
      </c>
      <c r="H130" s="36" t="str">
        <f>IFERROR(__xludf.DUMMYFUNCTION("IFERROR(INDEX(FILTER('棲息地'!$B$2:$B995 &amp; "" / "" &amp; '棲息地'!$C$2:$C995, ISNUMBER(SEARCH($B130, '棲息地'!$D$2:$D995))), 1), """")"),"樹蔭的黃色草叢 / 大樹 ×1、黃草 ×4")</f>
        <v>樹蔭的黃色草叢 / 大樹 ×1、黃草 ×4</v>
      </c>
      <c r="I130" s="36" t="str">
        <f>IFERROR(__xludf.DUMMYFUNCTION("IFERROR(INDEX(FILTER('棲息地'!$D$2:$D995, ISNUMBER(SEARCH($B130, '棲息地'!$D$2:$D995))), 1), """")"),"幕下力士、超音蝠、大嘴蝠、鐵掌力士")</f>
        <v>幕下力士、超音蝠、大嘴蝠、鐵掌力士</v>
      </c>
      <c r="J130" s="36" t="str">
        <f>IFERROR(__xludf.DUMMYFUNCTION("IFERROR(INDEX(FILTER('棲息地'!$B$2:$B995 &amp; "" / "" &amp; '棲息地'!$C$2:$C995, ISNUMBER(SEARCH($B130, '棲息地'!$D$2:$D995))), 2), """")"),"")</f>
        <v/>
      </c>
      <c r="K130" s="36" t="str">
        <f>IFERROR(__xludf.DUMMYFUNCTION("IFERROR(INDEX(FILTER('棲息地'!$D$2:$D995, ISNUMBER(SEARCH($B130, '棲息地'!$D$2:$D995))), 2), """")"),"")</f>
        <v/>
      </c>
      <c r="L130" s="36" t="str">
        <f>IFERROR(__xludf.DUMMYFUNCTION("IFERROR(INDEX(FILTER('棲息地'!$D$2:$D995, ISNUMBER(SEARCH($B130, '棲息地'!$D$2:$D995))), 3), """")"),"")</f>
        <v/>
      </c>
      <c r="M130" s="36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22.5" customHeight="1">
      <c r="A131" s="33" t="s">
        <v>1491</v>
      </c>
      <c r="B131" s="34" t="s">
        <v>488</v>
      </c>
      <c r="C131" s="35" t="s">
        <v>1215</v>
      </c>
      <c r="D131" s="34" t="s">
        <v>1080</v>
      </c>
      <c r="E131" s="35" t="s">
        <v>1200</v>
      </c>
      <c r="F131" s="35" t="s">
        <v>1492</v>
      </c>
      <c r="G131" s="35" t="s">
        <v>1129</v>
      </c>
      <c r="H131" s="36" t="str">
        <f>IFERROR(__xludf.DUMMYFUNCTION("IFERROR(INDEX(FILTER('棲息地'!$B$2:$B995 &amp; "" / "" &amp; '棲息地'!$C$2:$C995, ISNUMBER(SEARCH($B131, '棲息地'!$D$2:$D995))), 1), """")"),"歡迎光臨度假村 / 度假村燈飾 ×1")</f>
        <v>歡迎光臨度假村 / 度假村燈飾 ×1</v>
      </c>
      <c r="I131" s="36" t="str">
        <f>IFERROR(__xludf.DUMMYFUNCTION("IFERROR(INDEX(FILTER('棲息地'!$D$2:$D995, ISNUMBER(SEARCH($B131, '棲息地'!$D$2:$D995))), 1), """")"),"阿勃梭魯")</f>
        <v>阿勃梭魯</v>
      </c>
      <c r="J131" s="36" t="str">
        <f>IFERROR(__xludf.DUMMYFUNCTION("IFERROR(INDEX(FILTER('棲息地'!$B$2:$B995 &amp; "" / "" &amp; '棲息地'!$C$2:$C995, ISNUMBER(SEARCH($B131, '棲息地'!$D$2:$D995))), 2), """")"),"")</f>
        <v/>
      </c>
      <c r="K131" s="36" t="str">
        <f>IFERROR(__xludf.DUMMYFUNCTION("IFERROR(INDEX(FILTER('棲息地'!$D$2:$D995, ISNUMBER(SEARCH($B131, '棲息地'!$D$2:$D995))), 2), """")"),"")</f>
        <v/>
      </c>
      <c r="L131" s="36" t="str">
        <f>IFERROR(__xludf.DUMMYFUNCTION("IFERROR(INDEX(FILTER('棲息地'!$D$2:$D995, ISNUMBER(SEARCH($B131, '棲息地'!$D$2:$D995))), 3), """")"),"")</f>
        <v/>
      </c>
      <c r="M131" s="36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22.5" customHeight="1">
      <c r="A132" s="33" t="s">
        <v>1493</v>
      </c>
      <c r="B132" s="34" t="s">
        <v>1494</v>
      </c>
      <c r="C132" s="35" t="s">
        <v>1103</v>
      </c>
      <c r="D132" s="34" t="s">
        <v>1080</v>
      </c>
      <c r="E132" s="35" t="s">
        <v>1103</v>
      </c>
      <c r="F132" s="35" t="s">
        <v>1495</v>
      </c>
      <c r="G132" s="35" t="s">
        <v>1083</v>
      </c>
      <c r="H132" s="36" t="str">
        <f>IFERROR(__xludf.DUMMYFUNCTION("IFERROR(INDEX(FILTER('棲息地'!$B$2:$B995 &amp; "" / "" &amp; '棲息地'!$C$2:$C995, ISNUMBER(SEARCH($B132, '棲息地'!$D$2:$D995))), 1), """")"),"濕潤的黃色草叢 / 黃草 ×4、水 ×2")</f>
        <v>濕潤的黃色草叢 / 黃草 ×4、水 ×2</v>
      </c>
      <c r="I132" s="36" t="str">
        <f>IFERROR(__xludf.DUMMYFUNCTION("IFERROR(INDEX(FILTER('棲息地'!$D$2:$D995, ISNUMBER(SEARCH($B132, '棲息地'!$D$2:$D995))), 1), """")"),"露力麗、瑪力露、波加曼、波皇子")</f>
        <v>露力麗、瑪力露、波加曼、波皇子</v>
      </c>
      <c r="J132" s="36" t="str">
        <f>IFERROR(__xludf.DUMMYFUNCTION("IFERROR(INDEX(FILTER('棲息地'!$B$2:$B995 &amp; "" / "" &amp; '棲息地'!$C$2:$C995, ISNUMBER(SEARCH($B132, '棲息地'!$D$2:$D995))), 2), """")"),"")</f>
        <v/>
      </c>
      <c r="K132" s="36" t="str">
        <f>IFERROR(__xludf.DUMMYFUNCTION("IFERROR(INDEX(FILTER('棲息地'!$D$2:$D995, ISNUMBER(SEARCH($B132, '棲息地'!$D$2:$D995))), 2), """")"),"")</f>
        <v/>
      </c>
      <c r="L132" s="36" t="str">
        <f>IFERROR(__xludf.DUMMYFUNCTION("IFERROR(INDEX(FILTER('棲息地'!$D$2:$D995, ISNUMBER(SEARCH($B132, '棲息地'!$D$2:$D995))), 3), """")"),"")</f>
        <v/>
      </c>
      <c r="M132" s="36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22.5" customHeight="1">
      <c r="A133" s="33" t="s">
        <v>1496</v>
      </c>
      <c r="B133" s="34" t="s">
        <v>438</v>
      </c>
      <c r="C133" s="35" t="s">
        <v>1109</v>
      </c>
      <c r="D133" s="34" t="s">
        <v>1080</v>
      </c>
      <c r="E133" s="35" t="s">
        <v>1103</v>
      </c>
      <c r="F133" s="35" t="s">
        <v>1495</v>
      </c>
      <c r="G133" s="35" t="s">
        <v>1129</v>
      </c>
      <c r="H133" s="36" t="str">
        <f>IFERROR(__xludf.DUMMYFUNCTION("IFERROR(INDEX(FILTER('棲息地'!$B$2:$B995 &amp; "" / "" &amp; '棲息地'!$C$2:$C995, ISNUMBER(SEARCH($B133, '棲息地'!$D$2:$D995))), 1), """")"),"濕潤的黃色草叢 / 黃草 ×4、水 ×2")</f>
        <v>濕潤的黃色草叢 / 黃草 ×4、水 ×2</v>
      </c>
      <c r="I133" s="36" t="str">
        <f>IFERROR(__xludf.DUMMYFUNCTION("IFERROR(INDEX(FILTER('棲息地'!$D$2:$D995, ISNUMBER(SEARCH($B133, '棲息地'!$D$2:$D995))), 1), """")"),"露力麗、瑪力露、波加曼、波皇子")</f>
        <v>露力麗、瑪力露、波加曼、波皇子</v>
      </c>
      <c r="J133" s="36" t="str">
        <f>IFERROR(__xludf.DUMMYFUNCTION("IFERROR(INDEX(FILTER('棲息地'!$B$2:$B995 &amp; "" / "" &amp; '棲息地'!$C$2:$C995, ISNUMBER(SEARCH($B133, '棲息地'!$D$2:$D995))), 2), """")"),"水力發電廠 / 水 ×2、瀑布 ×1")</f>
        <v>水力發電廠 / 水 ×2、瀑布 ×1</v>
      </c>
      <c r="K133" s="36" t="str">
        <f>IFERROR(__xludf.DUMMYFUNCTION("IFERROR(INDEX(FILTER('棲息地'!$D$2:$D995, ISNUMBER(SEARCH($B133, '棲息地'!$D$2:$D995))), 2), """")"),"波皇子")</f>
        <v>波皇子</v>
      </c>
      <c r="L133" s="36" t="str">
        <f>IFERROR(__xludf.DUMMYFUNCTION("IFERROR(INDEX(FILTER('棲息地'!$D$2:$D995, ISNUMBER(SEARCH($B133, '棲息地'!$D$2:$D995))), 3), """")"),"")</f>
        <v/>
      </c>
      <c r="M133" s="36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22.5" customHeight="1">
      <c r="A134" s="33" t="s">
        <v>1497</v>
      </c>
      <c r="B134" s="34" t="s">
        <v>1498</v>
      </c>
      <c r="C134" s="35" t="s">
        <v>1109</v>
      </c>
      <c r="D134" s="34" t="s">
        <v>1080</v>
      </c>
      <c r="E134" s="35" t="s">
        <v>1103</v>
      </c>
      <c r="F134" s="35" t="s">
        <v>1499</v>
      </c>
      <c r="G134" s="35" t="s">
        <v>1125</v>
      </c>
      <c r="H134" s="36" t="str">
        <f>IFERROR(__xludf.DUMMYFUNCTION("IFERROR(INDEX(FILTER('棲息地'!$B$2:$B995 &amp; "" / "" &amp; '棲息地'!$C$2:$C995, ISNUMBER(SEARCH($B134, '棲息地'!$D$2:$D995))), 1), """")"),"雅緻餐廳 / 盤中食物 ×1、單枝花瓶 ×1、推車 ×1、雅緻桌椅")</f>
        <v>雅緻餐廳 / 盤中食物 ×1、單枝花瓶 ×1、推車 ×1、雅緻桌椅</v>
      </c>
      <c r="I134" s="36" t="str">
        <f>IFERROR(__xludf.DUMMYFUNCTION("IFERROR(INDEX(FILTER('棲息地'!$D$2:$D995, ISNUMBER(SEARCH($B134, '棲息地'!$D$2:$D995))), 1), """")"),"帝王拿波（★★）")</f>
        <v>帝王拿波（★★）</v>
      </c>
      <c r="J134" s="36" t="str">
        <f>IFERROR(__xludf.DUMMYFUNCTION("IFERROR(INDEX(FILTER('棲息地'!$B$2:$B995 &amp; "" / "" &amp; '棲息地'!$C$2:$C995, ISNUMBER(SEARCH($B134, '棲息地'!$D$2:$D995))), 2), """")"),"")</f>
        <v/>
      </c>
      <c r="K134" s="36" t="str">
        <f>IFERROR(__xludf.DUMMYFUNCTION("IFERROR(INDEX(FILTER('棲息地'!$D$2:$D995, ISNUMBER(SEARCH($B134, '棲息地'!$D$2:$D995))), 2), """")"),"")</f>
        <v/>
      </c>
      <c r="L134" s="36" t="str">
        <f>IFERROR(__xludf.DUMMYFUNCTION("IFERROR(INDEX(FILTER('棲息地'!$D$2:$D995, ISNUMBER(SEARCH($B134, '棲息地'!$D$2:$D995))), 3), """")"),"")</f>
        <v/>
      </c>
      <c r="M134" s="36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22.5" customHeight="1">
      <c r="A135" s="33" t="s">
        <v>1500</v>
      </c>
      <c r="B135" s="34" t="s">
        <v>1501</v>
      </c>
      <c r="C135" s="35" t="s">
        <v>1192</v>
      </c>
      <c r="D135" s="34" t="s">
        <v>1080</v>
      </c>
      <c r="E135" s="35" t="s">
        <v>1081</v>
      </c>
      <c r="F135" s="35" t="s">
        <v>1502</v>
      </c>
      <c r="G135" s="35" t="s">
        <v>1125</v>
      </c>
      <c r="H135" s="36" t="str">
        <f>IFERROR(__xludf.DUMMYFUNCTION("IFERROR(INDEX(FILTER('棲息地'!$B$2:$B995 &amp; "" / "" &amp; '棲息地'!$C$2:$C995, ISNUMBER(SEARCH($B135, '棲息地'!$D$2:$D995))), 1), """")"),"到收銀檯結帳 / 桌子 ×2")</f>
        <v>到收銀檯結帳 / 桌子 ×2</v>
      </c>
      <c r="I135" s="36" t="str">
        <f>IFERROR(__xludf.DUMMYFUNCTION("IFERROR(INDEX(FILTER('棲息地'!$D$2:$D995, ISNUMBER(SEARCH($B135, '棲息地'!$D$2:$D995))), 1), """")"),"喵喵、小福蛋、差不多娃娃、大嘴娃（空空鎮)")</f>
        <v>喵喵、小福蛋、差不多娃娃、大嘴娃（空空鎮)</v>
      </c>
      <c r="J135" s="36" t="str">
        <f>IFERROR(__xludf.DUMMYFUNCTION("IFERROR(INDEX(FILTER('棲息地'!$B$2:$B995 &amp; "" / "" &amp; '棲息地'!$C$2:$C995, ISNUMBER(SEARCH($B135, '棲息地'!$D$2:$D995))), 2), """")"),"")</f>
        <v/>
      </c>
      <c r="K135" s="36" t="str">
        <f>IFERROR(__xludf.DUMMYFUNCTION("IFERROR(INDEX(FILTER('棲息地'!$D$2:$D995, ISNUMBER(SEARCH($B135, '棲息地'!$D$2:$D995))), 2), """")"),"")</f>
        <v/>
      </c>
      <c r="L135" s="36" t="str">
        <f>IFERROR(__xludf.DUMMYFUNCTION("IFERROR(INDEX(FILTER('棲息地'!$D$2:$D995, ISNUMBER(SEARCH($B135, '棲息地'!$D$2:$D995))), 3), """")"),"")</f>
        <v/>
      </c>
      <c r="M135" s="36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22.5" customHeight="1">
      <c r="A136" s="33" t="s">
        <v>1503</v>
      </c>
      <c r="B136" s="34" t="s">
        <v>1504</v>
      </c>
      <c r="C136" s="35" t="s">
        <v>1199</v>
      </c>
      <c r="D136" s="34" t="s">
        <v>1080</v>
      </c>
      <c r="E136" s="35" t="s">
        <v>1103</v>
      </c>
      <c r="F136" s="35" t="s">
        <v>1505</v>
      </c>
      <c r="G136" s="35" t="s">
        <v>1125</v>
      </c>
      <c r="H136" s="36" t="str">
        <f>IFERROR(__xludf.DUMMYFUNCTION("IFERROR(INDEX(FILTER('棲息地'!$B$2:$B995 &amp; "" / "" &amp; '棲息地'!$C$2:$C995, ISNUMBER(SEARCH($B136, '棲息地'!$D$2:$D995))), 1), """")"),"垃圾集中站 / 垃圾桶 ×1、告示牌 ×1、垃圾袋 ×1")</f>
        <v>垃圾集中站 / 垃圾桶 ×1、告示牌 ×1、垃圾袋 ×1</v>
      </c>
      <c r="I136" s="36" t="str">
        <f>IFERROR(__xludf.DUMMYFUNCTION("IFERROR(INDEX(FILTER('棲息地'!$D$2:$D995, ISNUMBER(SEARCH($B136, '棲息地'!$D$2:$D995))), 1), """")"),"破破袋、瓦斯彈（空空鎮)、雙彈瓦斯（空空鎮)、灰塵山")</f>
        <v>破破袋、瓦斯彈（空空鎮)、雙彈瓦斯（空空鎮)、灰塵山</v>
      </c>
      <c r="J136" s="36" t="str">
        <f>IFERROR(__xludf.DUMMYFUNCTION("IFERROR(INDEX(FILTER('棲息地'!$B$2:$B995 &amp; "" / "" &amp; '棲息地'!$C$2:$C995, ISNUMBER(SEARCH($B136, '棲息地'!$D$2:$D995))), 2), """")"),"")</f>
        <v/>
      </c>
      <c r="K136" s="36" t="str">
        <f>IFERROR(__xludf.DUMMYFUNCTION("IFERROR(INDEX(FILTER('棲息地'!$D$2:$D995, ISNUMBER(SEARCH($B136, '棲息地'!$D$2:$D995))), 2), """")"),"")</f>
        <v/>
      </c>
      <c r="L136" s="36" t="str">
        <f>IFERROR(__xludf.DUMMYFUNCTION("IFERROR(INDEX(FILTER('棲息地'!$D$2:$D995, ISNUMBER(SEARCH($B136, '棲息地'!$D$2:$D995))), 3), """")"),"")</f>
        <v/>
      </c>
      <c r="M136" s="36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22.5" customHeight="1">
      <c r="A137" s="33" t="s">
        <v>1506</v>
      </c>
      <c r="B137" s="34" t="s">
        <v>1507</v>
      </c>
      <c r="C137" s="35" t="s">
        <v>1508</v>
      </c>
      <c r="D137" s="35" t="s">
        <v>1373</v>
      </c>
      <c r="E137" s="35" t="s">
        <v>1103</v>
      </c>
      <c r="F137" s="35" t="s">
        <v>1505</v>
      </c>
      <c r="G137" s="35" t="s">
        <v>1087</v>
      </c>
      <c r="H137" s="36" t="str">
        <f>IFERROR(__xludf.DUMMYFUNCTION("IFERROR(INDEX(FILTER('棲息地'!$B$2:$B995 &amp; "" / "" &amp; '棲息地'!$C$2:$C995, ISNUMBER(SEARCH($B137, '棲息地'!$D$2:$D995))), 1), """")"),"垃圾集中站 / 垃圾桶 ×1、告示牌 ×1、垃圾袋 ×1")</f>
        <v>垃圾集中站 / 垃圾桶 ×1、告示牌 ×1、垃圾袋 ×1</v>
      </c>
      <c r="I137" s="36" t="str">
        <f>IFERROR(__xludf.DUMMYFUNCTION("IFERROR(INDEX(FILTER('棲息地'!$D$2:$D995, ISNUMBER(SEARCH($B137, '棲息地'!$D$2:$D995))), 1), """")"),"破破袋、瓦斯彈（空空鎮)、雙彈瓦斯（空空鎮)、灰塵山")</f>
        <v>破破袋、瓦斯彈（空空鎮)、雙彈瓦斯（空空鎮)、灰塵山</v>
      </c>
      <c r="J137" s="36" t="str">
        <f>IFERROR(__xludf.DUMMYFUNCTION("IFERROR(INDEX(FILTER('棲息地'!$B$2:$B995 &amp; "" / "" &amp; '棲息地'!$C$2:$C995, ISNUMBER(SEARCH($B137, '棲息地'!$D$2:$D995))), 2), """")"),"")</f>
        <v/>
      </c>
      <c r="K137" s="36" t="str">
        <f>IFERROR(__xludf.DUMMYFUNCTION("IFERROR(INDEX(FILTER('棲息地'!$D$2:$D995, ISNUMBER(SEARCH($B137, '棲息地'!$D$2:$D995))), 2), """")"),"")</f>
        <v/>
      </c>
      <c r="L137" s="36" t="str">
        <f>IFERROR(__xludf.DUMMYFUNCTION("IFERROR(INDEX(FILTER('棲息地'!$D$2:$D995, ISNUMBER(SEARCH($B137, '棲息地'!$D$2:$D995))), 3), """")"),"")</f>
        <v/>
      </c>
      <c r="M137" s="36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22.5" customHeight="1">
      <c r="A138" s="33" t="s">
        <v>1509</v>
      </c>
      <c r="B138" s="34" t="s">
        <v>1510</v>
      </c>
      <c r="C138" s="35" t="s">
        <v>1192</v>
      </c>
      <c r="D138" s="34" t="s">
        <v>1080</v>
      </c>
      <c r="E138" s="35" t="s">
        <v>1200</v>
      </c>
      <c r="F138" s="35" t="s">
        <v>1511</v>
      </c>
      <c r="G138" s="35" t="s">
        <v>1087</v>
      </c>
      <c r="H138" s="36" t="str">
        <f>IFERROR(__xludf.DUMMYFUNCTION("IFERROR(INDEX(FILTER('棲息地'!$B$2:$B995 &amp; "" / "" &amp; '棲息地'!$C$2:$C995, ISNUMBER(SEARCH($B138, '棲息地'!$D$2:$D995))), 1), """")"),"涼爽的花田 / 海邊之花 ×4")</f>
        <v>涼爽的花田 / 海邊之花 ×4</v>
      </c>
      <c r="I138" s="36" t="str">
        <f>IFERROR(__xludf.DUMMYFUNCTION("IFERROR(INDEX(FILTER('棲息地'!$D$2:$D995, ISNUMBER(SEARCH($B138, '棲息地'!$D$2:$D995))), 1), """")"),"布撥、索羅亞、索羅亞克")</f>
        <v>布撥、索羅亞、索羅亞克</v>
      </c>
      <c r="J138" s="36" t="str">
        <f>IFERROR(__xludf.DUMMYFUNCTION("IFERROR(INDEX(FILTER('棲息地'!$B$2:$B995 &amp; "" / "" &amp; '棲息地'!$C$2:$C995, ISNUMBER(SEARCH($B138, '棲息地'!$D$2:$D995))), 2), """")"),"小心機關 / 氣球 ×2、驚嚇箱 ×1")</f>
        <v>小心機關 / 氣球 ×2、驚嚇箱 ×1</v>
      </c>
      <c r="K138" s="36" t="str">
        <f>IFERROR(__xludf.DUMMYFUNCTION("IFERROR(INDEX(FILTER('棲息地'!$D$2:$D995, ISNUMBER(SEARCH($B138, '棲息地'!$D$2:$D995))), 2), """")"),"索羅亞克、耿鬼、鬼斯通")</f>
        <v>索羅亞克、耿鬼、鬼斯通</v>
      </c>
      <c r="L138" s="36" t="str">
        <f>IFERROR(__xludf.DUMMYFUNCTION("IFERROR(INDEX(FILTER('棲息地'!$D$2:$D995, ISNUMBER(SEARCH($B138, '棲息地'!$D$2:$D995))), 3), """")"),"")</f>
        <v/>
      </c>
      <c r="M138" s="36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22.5" customHeight="1">
      <c r="A139" s="33" t="s">
        <v>1512</v>
      </c>
      <c r="B139" s="34" t="s">
        <v>1513</v>
      </c>
      <c r="C139" s="35" t="s">
        <v>1514</v>
      </c>
      <c r="D139" s="34" t="s">
        <v>1080</v>
      </c>
      <c r="E139" s="35" t="s">
        <v>1200</v>
      </c>
      <c r="F139" s="35" t="s">
        <v>1515</v>
      </c>
      <c r="G139" s="35" t="s">
        <v>1095</v>
      </c>
      <c r="H139" s="36" t="str">
        <f>IFERROR(__xludf.DUMMYFUNCTION("IFERROR(INDEX(FILTER('棲息地'!$B$2:$B995 &amp; "" / "" &amp; '棲息地'!$C$2:$C995, ISNUMBER(SEARCH($B139, '棲息地'!$D$2:$D995))), 1), """")"),"涼爽的花田 / 海邊之花 ×4")</f>
        <v>涼爽的花田 / 海邊之花 ×4</v>
      </c>
      <c r="I139" s="36" t="str">
        <f>IFERROR(__xludf.DUMMYFUNCTION("IFERROR(INDEX(FILTER('棲息地'!$D$2:$D995, ISNUMBER(SEARCH($B139, '棲息地'!$D$2:$D995))), 1), """")"),"布撥、索羅亞、索羅亞克")</f>
        <v>布撥、索羅亞、索羅亞克</v>
      </c>
      <c r="J139" s="36" t="str">
        <f>IFERROR(__xludf.DUMMYFUNCTION("IFERROR(INDEX(FILTER('棲息地'!$B$2:$B995 &amp; "" / "" &amp; '棲息地'!$C$2:$C995, ISNUMBER(SEARCH($B139, '棲息地'!$D$2:$D995))), 2), """")"),"小心機關 / 氣球 ×2、驚嚇箱 ×1")</f>
        <v>小心機關 / 氣球 ×2、驚嚇箱 ×1</v>
      </c>
      <c r="K139" s="36" t="str">
        <f>IFERROR(__xludf.DUMMYFUNCTION("IFERROR(INDEX(FILTER('棲息地'!$D$2:$D995, ISNUMBER(SEARCH($B139, '棲息地'!$D$2:$D995))), 2), """")"),"索羅亞克、耿鬼、鬼斯通")</f>
        <v>索羅亞克、耿鬼、鬼斯通</v>
      </c>
      <c r="L139" s="36" t="str">
        <f>IFERROR(__xludf.DUMMYFUNCTION("IFERROR(INDEX(FILTER('棲息地'!$D$2:$D995, ISNUMBER(SEARCH($B139, '棲息地'!$D$2:$D995))), 3), """")"),"")</f>
        <v/>
      </c>
      <c r="M139" s="36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22.5" customHeight="1">
      <c r="A140" s="33" t="s">
        <v>1516</v>
      </c>
      <c r="B140" s="34" t="s">
        <v>383</v>
      </c>
      <c r="C140" s="35" t="s">
        <v>1517</v>
      </c>
      <c r="D140" s="34" t="s">
        <v>1080</v>
      </c>
      <c r="E140" s="35" t="s">
        <v>1081</v>
      </c>
      <c r="F140" s="35" t="s">
        <v>1518</v>
      </c>
      <c r="G140" s="35" t="s">
        <v>1083</v>
      </c>
      <c r="H140" s="36" t="str">
        <f>IFERROR(__xludf.DUMMYFUNCTION("IFERROR(INDEX(FILTER('棲息地'!$B$2:$B995 &amp; "" / "" &amp; '棲息地'!$C$2:$C995, ISNUMBER(SEARCH($B140, '棲息地'!$D$2:$D995))), 1), """")"),"更衣區 / 衣櫥 ×1、鏡子(大型) ×1")</f>
        <v>更衣區 / 衣櫥 ×1、鏡子(大型) ×1</v>
      </c>
      <c r="I140" s="36" t="str">
        <f>IFERROR(__xludf.DUMMYFUNCTION("IFERROR(INDEX(FILTER('棲息地'!$D$2:$D995, ISNUMBER(SEARCH($B140, '棲息地'!$D$2:$D995))), 1), """")"),"泡沫栗鼠")</f>
        <v>泡沫栗鼠</v>
      </c>
      <c r="J140" s="36" t="str">
        <f>IFERROR(__xludf.DUMMYFUNCTION("IFERROR(INDEX(FILTER('棲息地'!$B$2:$B995 &amp; "" / "" &amp; '棲息地'!$C$2:$C995, ISNUMBER(SEARCH($B140, '棲息地'!$D$2:$D995))), 2), """")"),"更衣中別偷看 / 隔板 ×2、衣櫃 ×1、梳妝台 ×1")</f>
        <v>更衣中別偷看 / 隔板 ×2、衣櫃 ×1、梳妝台 ×1</v>
      </c>
      <c r="K140" s="36" t="str">
        <f>IFERROR(__xludf.DUMMYFUNCTION("IFERROR(INDEX(FILTER('棲息地'!$D$2:$D995, ISNUMBER(SEARCH($B140, '棲息地'!$D$2:$D995))), 2), """")"),"泡沫栗鼠（★）、奇諾栗鼠（★★）")</f>
        <v>泡沫栗鼠（★）、奇諾栗鼠（★★）</v>
      </c>
      <c r="L140" s="36" t="str">
        <f>IFERROR(__xludf.DUMMYFUNCTION("IFERROR(INDEX(FILTER('棲息地'!$D$2:$D995, ISNUMBER(SEARCH($B140, '棲息地'!$D$2:$D995))), 3), """")"),"")</f>
        <v/>
      </c>
      <c r="M140" s="34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22.5" customHeight="1">
      <c r="A141" s="33" t="s">
        <v>1519</v>
      </c>
      <c r="B141" s="34" t="s">
        <v>1520</v>
      </c>
      <c r="C141" s="35" t="s">
        <v>1521</v>
      </c>
      <c r="D141" s="34" t="s">
        <v>1080</v>
      </c>
      <c r="E141" s="35" t="s">
        <v>1081</v>
      </c>
      <c r="F141" s="35" t="s">
        <v>1518</v>
      </c>
      <c r="G141" s="35" t="s">
        <v>1087</v>
      </c>
      <c r="H141" s="36" t="str">
        <f>IFERROR(__xludf.DUMMYFUNCTION("IFERROR(INDEX(FILTER('棲息地'!$B$2:$B995 &amp; "" / "" &amp; '棲息地'!$C$2:$C995, ISNUMBER(SEARCH($B141, '棲息地'!$D$2:$D995))), 1), """")"),"更衣中別偷看 / 隔板 ×2、衣櫃 ×1、梳妝台 ×1")</f>
        <v>更衣中別偷看 / 隔板 ×2、衣櫃 ×1、梳妝台 ×1</v>
      </c>
      <c r="I141" s="36" t="str">
        <f>IFERROR(__xludf.DUMMYFUNCTION("IFERROR(INDEX(FILTER('棲息地'!$D$2:$D995, ISNUMBER(SEARCH($B141, '棲息地'!$D$2:$D995))), 1), """")"),"泡沫栗鼠（★）、奇諾栗鼠（★★）")</f>
        <v>泡沫栗鼠（★）、奇諾栗鼠（★★）</v>
      </c>
      <c r="J141" s="36" t="str">
        <f>IFERROR(__xludf.DUMMYFUNCTION("IFERROR(INDEX(FILTER('棲息地'!$B$2:$B995 &amp; "" / "" &amp; '棲息地'!$C$2:$C995, ISNUMBER(SEARCH($B141, '棲息地'!$D$2:$D995))), 2), """")"),"")</f>
        <v/>
      </c>
      <c r="K141" s="36" t="str">
        <f>IFERROR(__xludf.DUMMYFUNCTION("IFERROR(INDEX(FILTER('棲息地'!$D$2:$D995, ISNUMBER(SEARCH($B141, '棲息地'!$D$2:$D995))), 2), """")"),"")</f>
        <v/>
      </c>
      <c r="L141" s="36" t="str">
        <f>IFERROR(__xludf.DUMMYFUNCTION("IFERROR(INDEX(FILTER('棲息地'!$D$2:$D995, ISNUMBER(SEARCH($B141, '棲息地'!$D$2:$D995))), 3), """")"),"")</f>
        <v/>
      </c>
      <c r="M141" s="36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22.5" customHeight="1">
      <c r="A142" s="33" t="s">
        <v>1522</v>
      </c>
      <c r="B142" s="34" t="s">
        <v>1523</v>
      </c>
      <c r="C142" s="35" t="s">
        <v>1215</v>
      </c>
      <c r="D142" s="34" t="s">
        <v>1080</v>
      </c>
      <c r="E142" s="35" t="s">
        <v>1081</v>
      </c>
      <c r="F142" s="35" t="s">
        <v>1524</v>
      </c>
      <c r="G142" s="35" t="s">
        <v>1129</v>
      </c>
      <c r="H142" s="36" t="str">
        <f>IFERROR(__xludf.DUMMYFUNCTION("IFERROR(INDEX(FILTER('棲息地'!$B$2:$B995 &amp; "" / "" &amp; '棲息地'!$C$2:$C995, ISNUMBER(SEARCH($B142, '棲息地'!$D$2:$D995))), 1), """")"),"黃色的草叢 / 黃草 ×4")</f>
        <v>黃色的草叢 / 黃草 ×4</v>
      </c>
      <c r="I142" s="36" t="str">
        <f>IFERROR(__xludf.DUMMYFUNCTION("IFERROR(INDEX(FILTER('棲息地'!$D$2:$D995, ISNUMBER(SEARCH($B142, '棲息地'!$D$2:$D995))), 1), """")"),"圓絲蛛、阿利多斯、強顎雞母蟲")</f>
        <v>圓絲蛛、阿利多斯、強顎雞母蟲</v>
      </c>
      <c r="J142" s="36" t="str">
        <f>IFERROR(__xludf.DUMMYFUNCTION("IFERROR(INDEX(FILTER('棲息地'!$B$2:$B995 &amp; "" / "" &amp; '棲息地'!$C$2:$C995, ISNUMBER(SEARCH($B142, '棲息地'!$D$2:$D995))), 2), """")"),"自動販賣機旁偷個閒 / 椅子(長條) ×1")</f>
        <v>自動販賣機旁偷個閒 / 椅子(長條) ×1</v>
      </c>
      <c r="K142" s="36" t="str">
        <f>IFERROR(__xludf.DUMMYFUNCTION("IFERROR(INDEX(FILTER('棲息地'!$D$2:$D995, ISNUMBER(SEARCH($B142, '棲息地'!$D$2:$D995))), 2), """")"),"強顎雞母蟲、蟲電寶")</f>
        <v>強顎雞母蟲、蟲電寶</v>
      </c>
      <c r="L142" s="36" t="str">
        <f>IFERROR(__xludf.DUMMYFUNCTION("IFERROR(INDEX(FILTER('棲息地'!$D$2:$D995, ISNUMBER(SEARCH($B142, '棲息地'!$D$2:$D995))), 3), """")"),"")</f>
        <v/>
      </c>
      <c r="M142" s="36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22.5" customHeight="1">
      <c r="A143" s="33" t="s">
        <v>1525</v>
      </c>
      <c r="B143" s="34" t="s">
        <v>1526</v>
      </c>
      <c r="C143" s="35" t="s">
        <v>1527</v>
      </c>
      <c r="D143" s="34" t="s">
        <v>1080</v>
      </c>
      <c r="E143" s="35" t="s">
        <v>1081</v>
      </c>
      <c r="F143" s="35" t="s">
        <v>1528</v>
      </c>
      <c r="G143" s="35" t="s">
        <v>1125</v>
      </c>
      <c r="H143" s="36" t="str">
        <f>IFERROR(__xludf.DUMMYFUNCTION("IFERROR(INDEX(FILTER('棲息地'!$B$2:$B995 &amp; "" / "" &amp; '棲息地'!$C$2:$C995, ISNUMBER(SEARCH($B143, '棲息地'!$D$2:$D995))), 1), """")"),"自動販賣機旁偷個閒 / 椅子(長條) ×1")</f>
        <v>自動販賣機旁偷個閒 / 椅子(長條) ×1</v>
      </c>
      <c r="I143" s="36" t="str">
        <f>IFERROR(__xludf.DUMMYFUNCTION("IFERROR(INDEX(FILTER('棲息地'!$D$2:$D995, ISNUMBER(SEARCH($B143, '棲息地'!$D$2:$D995))), 1), """")"),"強顎雞母蟲、蟲電寶")</f>
        <v>強顎雞母蟲、蟲電寶</v>
      </c>
      <c r="J143" s="36" t="str">
        <f>IFERROR(__xludf.DUMMYFUNCTION("IFERROR(INDEX(FILTER('棲息地'!$B$2:$B995 &amp; "" / "" &amp; '棲息地'!$C$2:$C995, ISNUMBER(SEARCH($B143, '棲息地'!$D$2:$D995))), 2), """")"),"")</f>
        <v/>
      </c>
      <c r="K143" s="36" t="str">
        <f>IFERROR(__xludf.DUMMYFUNCTION("IFERROR(INDEX(FILTER('棲息地'!$D$2:$D995, ISNUMBER(SEARCH($B143, '棲息地'!$D$2:$D995))), 2), """")"),"")</f>
        <v/>
      </c>
      <c r="L143" s="36" t="str">
        <f>IFERROR(__xludf.DUMMYFUNCTION("IFERROR(INDEX(FILTER('棲息地'!$D$2:$D995, ISNUMBER(SEARCH($B143, '棲息地'!$D$2:$D995))), 3), """")"),"")</f>
        <v/>
      </c>
      <c r="M143" s="36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22.5" customHeight="1">
      <c r="A144" s="33" t="s">
        <v>1529</v>
      </c>
      <c r="B144" s="34" t="s">
        <v>1530</v>
      </c>
      <c r="C144" s="35" t="s">
        <v>1527</v>
      </c>
      <c r="D144" s="34" t="s">
        <v>1080</v>
      </c>
      <c r="E144" s="35" t="s">
        <v>1081</v>
      </c>
      <c r="F144" s="35" t="s">
        <v>1531</v>
      </c>
      <c r="G144" s="35" t="s">
        <v>1129</v>
      </c>
      <c r="H144" s="36" t="str">
        <f>IFERROR(__xludf.DUMMYFUNCTION("IFERROR(INDEX(FILTER('棲息地'!$B$2:$B995 &amp; "" / "" &amp; '棲息地'!$C$2:$C995, ISNUMBER(SEARCH($B144, '棲息地'!$D$2:$D995))), 1), """")"),"樹蔭的花田 / 原野之花 ×4")</f>
        <v>樹蔭的花田 / 原野之花 ×4</v>
      </c>
      <c r="I144" s="36" t="str">
        <f>IFERROR(__xludf.DUMMYFUNCTION("IFERROR(INDEX(FILTER('棲息地'!$D$2:$D995, ISNUMBER(SEARCH($B144, '棲息地'!$D$2:$D995))), 1), """")"),"黏黏寶、夢歌仙人掌、鍬農炮蟲（空空鎮)")</f>
        <v>黏黏寶、夢歌仙人掌、鍬農炮蟲（空空鎮)</v>
      </c>
      <c r="J144" s="36" t="str">
        <f>IFERROR(__xludf.DUMMYFUNCTION("IFERROR(INDEX(FILTER('棲息地'!$B$2:$B995 &amp; "" / "" &amp; '棲息地'!$C$2:$C995, ISNUMBER(SEARCH($B144, '棲息地'!$D$2:$D995))), 2), """")"),"")</f>
        <v/>
      </c>
      <c r="K144" s="36" t="str">
        <f>IFERROR(__xludf.DUMMYFUNCTION("IFERROR(INDEX(FILTER('棲息地'!$D$2:$D995, ISNUMBER(SEARCH($B144, '棲息地'!$D$2:$D995))), 2), """")"),"")</f>
        <v/>
      </c>
      <c r="L144" s="36" t="str">
        <f>IFERROR(__xludf.DUMMYFUNCTION("IFERROR(INDEX(FILTER('棲息地'!$D$2:$D995, ISNUMBER(SEARCH($B144, '棲息地'!$D$2:$D995))), 3), """")"),"")</f>
        <v/>
      </c>
      <c r="M144" s="36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22.5" customHeight="1">
      <c r="A145" s="33" t="s">
        <v>1532</v>
      </c>
      <c r="B145" s="34" t="s">
        <v>478</v>
      </c>
      <c r="C145" s="35" t="s">
        <v>1192</v>
      </c>
      <c r="D145" s="34" t="s">
        <v>1080</v>
      </c>
      <c r="E145" s="35" t="s">
        <v>1200</v>
      </c>
      <c r="F145" s="35" t="s">
        <v>1533</v>
      </c>
      <c r="G145" s="35" t="s">
        <v>1125</v>
      </c>
      <c r="H145" s="36" t="str">
        <f>IFERROR(__xludf.DUMMYFUNCTION("IFERROR(INDEX(FILTER('棲息地'!$B$2:$B995 &amp; "" / "" &amp; '棲息地'!$C$2:$C995, ISNUMBER(SEARCH($B145, '棲息地'!$D$2:$D995))), 1), """")"),"皮卡丘空間 / 皮卡丘沙發 ×1、皮卡丘布偶 ×1")</f>
        <v>皮卡丘空間 / 皮卡丘沙發 ×1、皮卡丘布偶 ×1</v>
      </c>
      <c r="I145" s="36" t="str">
        <f>IFERROR(__xludf.DUMMYFUNCTION("IFERROR(INDEX(FILTER('棲息地'!$D$2:$D995, ISNUMBER(SEARCH($B145, '棲息地'!$D$2:$D995))), 1), """")"),"謎擬Ｑ")</f>
        <v>謎擬Ｑ</v>
      </c>
      <c r="J145" s="36" t="str">
        <f>IFERROR(__xludf.DUMMYFUNCTION("IFERROR(INDEX(FILTER('棲息地'!$B$2:$B995 &amp; "" / "" &amp; '棲息地'!$C$2:$C995, ISNUMBER(SEARCH($B145, '棲息地'!$D$2:$D995))), 2), """")"),"")</f>
        <v/>
      </c>
      <c r="K145" s="36" t="str">
        <f>IFERROR(__xludf.DUMMYFUNCTION("IFERROR(INDEX(FILTER('棲息地'!$D$2:$D995, ISNUMBER(SEARCH($B145, '棲息地'!$D$2:$D995))), 2), """")"),"")</f>
        <v/>
      </c>
      <c r="L145" s="36" t="str">
        <f>IFERROR(__xludf.DUMMYFUNCTION("IFERROR(INDEX(FILTER('棲息地'!$D$2:$D995, ISNUMBER(SEARCH($B145, '棲息地'!$D$2:$D995))), 3), """")"),"")</f>
        <v/>
      </c>
      <c r="M145" s="36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22.5" customHeight="1">
      <c r="A146" s="33" t="s">
        <v>1534</v>
      </c>
      <c r="B146" s="34" t="s">
        <v>1535</v>
      </c>
      <c r="C146" s="35" t="s">
        <v>1169</v>
      </c>
      <c r="D146" s="34" t="s">
        <v>1080</v>
      </c>
      <c r="E146" s="35" t="s">
        <v>1081</v>
      </c>
      <c r="F146" s="35" t="s">
        <v>1536</v>
      </c>
      <c r="G146" s="35" t="s">
        <v>1083</v>
      </c>
      <c r="H146" s="36" t="str">
        <f>IFERROR(__xludf.DUMMYFUNCTION("IFERROR(INDEX(FILTER('棲息地'!$B$2:$B995 &amp; "" / "" &amp; '棲息地'!$C$2:$C995, ISNUMBER(SEARCH($B146, '棲息地'!$D$2:$D995))), 1), """")"),"涼爽的花田 / 海邊之花 ×4")</f>
        <v>涼爽的花田 / 海邊之花 ×4</v>
      </c>
      <c r="I146" s="36" t="str">
        <f>IFERROR(__xludf.DUMMYFUNCTION("IFERROR(INDEX(FILTER('棲息地'!$D$2:$D995, ISNUMBER(SEARCH($B146, '棲息地'!$D$2:$D995))), 1), """")"),"布撥、索羅亞、索羅亞克")</f>
        <v>布撥、索羅亞、索羅亞克</v>
      </c>
      <c r="J146" s="36" t="str">
        <f>IFERROR(__xludf.DUMMYFUNCTION("IFERROR(INDEX(FILTER('棲息地'!$B$2:$B995 &amp; "" / "" &amp; '棲息地'!$C$2:$C995, ISNUMBER(SEARCH($B146, '棲息地'!$D$2:$D995))), 2), """")"),"餓肚肚餐廳 / 椅子 ×1、菜單板 ×1、桌子 ×1、盤子食物 ×1")</f>
        <v>餓肚肚餐廳 / 椅子 ×1、菜單板 ×1、桌子 ×1、盤子食物 ×1</v>
      </c>
      <c r="K146" s="36" t="str">
        <f>IFERROR(__xludf.DUMMYFUNCTION("IFERROR(INDEX(FILTER('棲息地'!$D$2:$D995, ISNUMBER(SEARCH($B146, '棲息地'!$D$2:$D995))), 2), """")"),"布撥、布土撥")</f>
        <v>布撥、布土撥</v>
      </c>
      <c r="L146" s="36" t="str">
        <f>IFERROR(__xludf.DUMMYFUNCTION("IFERROR(INDEX(FILTER('棲息地'!$D$2:$D995, ISNUMBER(SEARCH($B146, '棲息地'!$D$2:$D995))), 3), """")"),"")</f>
        <v/>
      </c>
      <c r="M146" s="36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22.5" customHeight="1">
      <c r="A147" s="33" t="s">
        <v>1537</v>
      </c>
      <c r="B147" s="34" t="s">
        <v>1538</v>
      </c>
      <c r="C147" s="35" t="s">
        <v>1416</v>
      </c>
      <c r="D147" s="34" t="s">
        <v>1080</v>
      </c>
      <c r="E147" s="35" t="s">
        <v>1081</v>
      </c>
      <c r="F147" s="35" t="s">
        <v>1539</v>
      </c>
      <c r="G147" s="35" t="s">
        <v>1083</v>
      </c>
      <c r="H147" s="36" t="str">
        <f>IFERROR(__xludf.DUMMYFUNCTION("IFERROR(INDEX(FILTER('棲息地'!$B$2:$B995 &amp; "" / "" &amp; '棲息地'!$C$2:$C995, ISNUMBER(SEARCH($B147, '棲息地'!$D$2:$D995))), 1), """")"),"餓肚肚餐廳 / 椅子 ×1、菜單板 ×1、桌子 ×1、盤子食物 ×1")</f>
        <v>餓肚肚餐廳 / 椅子 ×1、菜單板 ×1、桌子 ×1、盤子食物 ×1</v>
      </c>
      <c r="I147" s="36" t="str">
        <f>IFERROR(__xludf.DUMMYFUNCTION("IFERROR(INDEX(FILTER('棲息地'!$D$2:$D995, ISNUMBER(SEARCH($B147, '棲息地'!$D$2:$D995))), 1), """")"),"布撥、布土撥")</f>
        <v>布撥、布土撥</v>
      </c>
      <c r="J147" s="36" t="str">
        <f>IFERROR(__xludf.DUMMYFUNCTION("IFERROR(INDEX(FILTER('棲息地'!$B$2:$B995 &amp; "" / "" &amp; '棲息地'!$C$2:$C995, ISNUMBER(SEARCH($B147, '棲息地'!$D$2:$D995))), 2), """")"),"咖啡空間 / 椅子 ×2、馬克杯 ×1、菜單板 ×1")</f>
        <v>咖啡空間 / 椅子 ×2、馬克杯 ×1、菜單板 ×1</v>
      </c>
      <c r="K147" s="36" t="str">
        <f>IFERROR(__xludf.DUMMYFUNCTION("IFERROR(INDEX(FILTER('棲息地'!$D$2:$D995, ISNUMBER(SEARCH($B147, '棲息地'!$D$2:$D995))), 2), """")"),"布土撥、巴布土撥")</f>
        <v>布土撥、巴布土撥</v>
      </c>
      <c r="L147" s="36" t="str">
        <f>IFERROR(__xludf.DUMMYFUNCTION("IFERROR(INDEX(FILTER('棲息地'!$D$2:$D995, ISNUMBER(SEARCH($B147, '棲息地'!$D$2:$D995))), 3), """")"),"")</f>
        <v/>
      </c>
      <c r="M147" s="36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22.5" customHeight="1">
      <c r="A148" s="33" t="s">
        <v>1540</v>
      </c>
      <c r="B148" s="34" t="s">
        <v>1541</v>
      </c>
      <c r="C148" s="35" t="s">
        <v>1416</v>
      </c>
      <c r="D148" s="34" t="s">
        <v>1080</v>
      </c>
      <c r="E148" s="35" t="s">
        <v>1081</v>
      </c>
      <c r="F148" s="35" t="s">
        <v>1542</v>
      </c>
      <c r="G148" s="35" t="s">
        <v>1129</v>
      </c>
      <c r="H148" s="36" t="str">
        <f>IFERROR(__xludf.DUMMYFUNCTION("IFERROR(INDEX(FILTER('棲息地'!$B$2:$B995 &amp; "" / "" &amp; '棲息地'!$C$2:$C995, ISNUMBER(SEARCH($B148, '棲息地'!$D$2:$D995))), 1), """")"),"咖啡空間 / 椅子 ×2、馬克杯 ×1、菜單板 ×1")</f>
        <v>咖啡空間 / 椅子 ×2、馬克杯 ×1、菜單板 ×1</v>
      </c>
      <c r="I148" s="36" t="str">
        <f>IFERROR(__xludf.DUMMYFUNCTION("IFERROR(INDEX(FILTER('棲息地'!$D$2:$D995, ISNUMBER(SEARCH($B148, '棲息地'!$D$2:$D995))), 1), """")"),"布土撥、巴布土撥")</f>
        <v>布土撥、巴布土撥</v>
      </c>
      <c r="J148" s="36" t="str">
        <f>IFERROR(__xludf.DUMMYFUNCTION("IFERROR(INDEX(FILTER('棲息地'!$B$2:$B995 &amp; "" / "" &amp; '棲息地'!$C$2:$C995, ISNUMBER(SEARCH($B148, '棲息地'!$D$2:$D995))), 2), """")"),"")</f>
        <v/>
      </c>
      <c r="K148" s="36" t="str">
        <f>IFERROR(__xludf.DUMMYFUNCTION("IFERROR(INDEX(FILTER('棲息地'!$D$2:$D995, ISNUMBER(SEARCH($B148, '棲息地'!$D$2:$D995))), 2), """")"),"")</f>
        <v/>
      </c>
      <c r="L148" s="36" t="str">
        <f>IFERROR(__xludf.DUMMYFUNCTION("IFERROR(INDEX(FILTER('棲息地'!$D$2:$D995, ISNUMBER(SEARCH($B148, '棲息地'!$D$2:$D995))), 3), """")"),"")</f>
        <v/>
      </c>
      <c r="M148" s="36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22.5" customHeight="1">
      <c r="A149" s="33" t="s">
        <v>1543</v>
      </c>
      <c r="B149" s="34" t="s">
        <v>363</v>
      </c>
      <c r="C149" s="35" t="s">
        <v>1192</v>
      </c>
      <c r="D149" s="34" t="s">
        <v>1080</v>
      </c>
      <c r="E149" s="35" t="s">
        <v>1103</v>
      </c>
      <c r="F149" s="35" t="s">
        <v>1544</v>
      </c>
      <c r="G149" s="35" t="s">
        <v>1545</v>
      </c>
      <c r="H149" s="36" t="str">
        <f>IFERROR(__xludf.DUMMYFUNCTION("IFERROR(INDEX(FILTER('棲息地'!$B$2:$B995 &amp; "" / "" &amp; '棲息地'!$C$2:$C995, ISNUMBER(SEARCH($B149, '棲息地'!$D$2:$D995))), 1), """")"),"海灘套組 / 海灘椅 ×1、海灘傘 ×1")</f>
        <v>海灘套組 / 海灘椅 ×1、海灘傘 ×1</v>
      </c>
      <c r="I149" s="36" t="str">
        <f>IFERROR(__xludf.DUMMYFUNCTION("IFERROR(INDEX(FILTER('棲息地'!$D$2:$D995, ISNUMBER(SEARCH($B149, '棲息地'!$D$2:$D995))), 1), """")"),"米立龍")</f>
        <v>米立龍</v>
      </c>
      <c r="J149" s="36" t="str">
        <f>IFERROR(__xludf.DUMMYFUNCTION("IFERROR(INDEX(FILTER('棲息地'!$B$2:$B995 &amp; "" / "" &amp; '棲息地'!$C$2:$C995, ISNUMBER(SEARCH($B149, '棲息地'!$D$2:$D995))), 2), """")"),"")</f>
        <v/>
      </c>
      <c r="K149" s="36" t="str">
        <f>IFERROR(__xludf.DUMMYFUNCTION("IFERROR(INDEX(FILTER('棲息地'!$D$2:$D995, ISNUMBER(SEARCH($B149, '棲息地'!$D$2:$D995))), 2), """")"),"")</f>
        <v/>
      </c>
      <c r="L149" s="36" t="str">
        <f>IFERROR(__xludf.DUMMYFUNCTION("IFERROR(INDEX(FILTER('棲息地'!$D$2:$D995, ISNUMBER(SEARCH($B149, '棲息地'!$D$2:$D995))), 3), """")"),"")</f>
        <v/>
      </c>
      <c r="M149" s="36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22.5" customHeight="1">
      <c r="A150" s="33" t="s">
        <v>1546</v>
      </c>
      <c r="B150" s="34" t="s">
        <v>1547</v>
      </c>
      <c r="C150" s="35" t="s">
        <v>1139</v>
      </c>
      <c r="D150" s="34" t="s">
        <v>1080</v>
      </c>
      <c r="E150" s="35" t="s">
        <v>1200</v>
      </c>
      <c r="F150" s="35" t="s">
        <v>1548</v>
      </c>
      <c r="G150" s="35" t="s">
        <v>1095</v>
      </c>
      <c r="H150" s="36" t="str">
        <f>IFERROR(__xludf.DUMMYFUNCTION("IFERROR(INDEX(FILTER('棲息地'!$B$2:$B995 &amp; "" / "" &amp; '棲息地'!$C$2:$C995, ISNUMBER(SEARCH($B150, '棲息地'!$D$2:$D995))), 1), """")"),"濕潤的優雅花田 / 水 ×2、岩場之花 ×4")</f>
        <v>濕潤的優雅花田 / 水 ×2、岩場之花 ×4</v>
      </c>
      <c r="I150" s="36" t="str">
        <f>IFERROR(__xludf.DUMMYFUNCTION("IFERROR(INDEX(FILTER('棲息地'!$D$2:$D995, ISNUMBER(SEARCH($B150, '棲息地'!$D$2:$D995))), 1), """")"),"阿柏蛇、阿柏怪")</f>
        <v>阿柏蛇、阿柏怪</v>
      </c>
      <c r="J150" s="36" t="str">
        <f>IFERROR(__xludf.DUMMYFUNCTION("IFERROR(INDEX(FILTER('棲息地'!$B$2:$B995 &amp; "" / "" &amp; '棲息地'!$C$2:$C995, ISNUMBER(SEARCH($B150, '棲息地'!$D$2:$D995))), 2), """")"),"")</f>
        <v/>
      </c>
      <c r="K150" s="36" t="str">
        <f>IFERROR(__xludf.DUMMYFUNCTION("IFERROR(INDEX(FILTER('棲息地'!$D$2:$D995, ISNUMBER(SEARCH($B150, '棲息地'!$D$2:$D995))), 2), """")"),"")</f>
        <v/>
      </c>
      <c r="L150" s="36" t="str">
        <f>IFERROR(__xludf.DUMMYFUNCTION("IFERROR(INDEX(FILTER('棲息地'!$D$2:$D995, ISNUMBER(SEARCH($B150, '棲息地'!$D$2:$D995))), 3), """")"),"")</f>
        <v/>
      </c>
      <c r="M150" s="36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22.5" customHeight="1">
      <c r="A151" s="33" t="s">
        <v>1549</v>
      </c>
      <c r="B151" s="34" t="s">
        <v>1550</v>
      </c>
      <c r="C151" s="35" t="s">
        <v>1139</v>
      </c>
      <c r="D151" s="34" t="s">
        <v>1080</v>
      </c>
      <c r="E151" s="35" t="s">
        <v>1200</v>
      </c>
      <c r="F151" s="35" t="s">
        <v>1548</v>
      </c>
      <c r="G151" s="35" t="s">
        <v>1095</v>
      </c>
      <c r="H151" s="36" t="str">
        <f>IFERROR(__xludf.DUMMYFUNCTION("IFERROR(INDEX(FILTER('棲息地'!$B$2:$B995 &amp; "" / "" &amp; '棲息地'!$C$2:$C995, ISNUMBER(SEARCH($B151, '棲息地'!$D$2:$D995))), 1), """")"),"濕潤的優雅花田 / 水 ×2、岩場之花 ×4")</f>
        <v>濕潤的優雅花田 / 水 ×2、岩場之花 ×4</v>
      </c>
      <c r="I151" s="36" t="str">
        <f>IFERROR(__xludf.DUMMYFUNCTION("IFERROR(INDEX(FILTER('棲息地'!$D$2:$D995, ISNUMBER(SEARCH($B151, '棲息地'!$D$2:$D995))), 1), """")"),"阿柏蛇、阿柏怪")</f>
        <v>阿柏蛇、阿柏怪</v>
      </c>
      <c r="J151" s="36" t="str">
        <f>IFERROR(__xludf.DUMMYFUNCTION("IFERROR(INDEX(FILTER('棲息地'!$B$2:$B995 &amp; "" / "" &amp; '棲息地'!$C$2:$C995, ISNUMBER(SEARCH($B151, '棲息地'!$D$2:$D995))), 2), """")"),"")</f>
        <v/>
      </c>
      <c r="K151" s="36" t="str">
        <f>IFERROR(__xludf.DUMMYFUNCTION("IFERROR(INDEX(FILTER('棲息地'!$D$2:$D995, ISNUMBER(SEARCH($B151, '棲息地'!$D$2:$D995))), 2), """")"),"")</f>
        <v/>
      </c>
      <c r="L151" s="36" t="str">
        <f>IFERROR(__xludf.DUMMYFUNCTION("IFERROR(INDEX(FILTER('棲息地'!$D$2:$D995, ISNUMBER(SEARCH($B151, '棲息地'!$D$2:$D995))), 3), """")"),"")</f>
        <v/>
      </c>
      <c r="M151" s="36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22.5" customHeight="1">
      <c r="A152" s="33" t="s">
        <v>1551</v>
      </c>
      <c r="B152" s="34" t="s">
        <v>1552</v>
      </c>
      <c r="C152" s="35" t="s">
        <v>1247</v>
      </c>
      <c r="D152" s="34" t="s">
        <v>1080</v>
      </c>
      <c r="E152" s="35" t="s">
        <v>1200</v>
      </c>
      <c r="F152" s="35" t="s">
        <v>1553</v>
      </c>
      <c r="G152" s="35" t="s">
        <v>1083</v>
      </c>
      <c r="H152" s="36" t="str">
        <f>IFERROR(__xludf.DUMMYFUNCTION("IFERROR(INDEX(FILTER('棲息地'!$B$2:$B995 &amp; "" / "" &amp; '棲息地'!$C$2:$C995, ISNUMBER(SEARCH($B152, '棲息地'!$D$2:$D995))), 1), """")"),"優雅的花田 / 岩場之花 ×4")</f>
        <v>優雅的花田 / 岩場之花 ×4</v>
      </c>
      <c r="I152" s="36" t="str">
        <f>IFERROR(__xludf.DUMMYFUNCTION("IFERROR(INDEX(FILTER('棲息地'!$D$2:$D995, ISNUMBER(SEARCH($B152, '棲息地'!$D$2:$D995))), 1), """")"),"皮寶寶、狗仔包、皮皮、麻花犬、皮可西")</f>
        <v>皮寶寶、狗仔包、皮皮、麻花犬、皮可西</v>
      </c>
      <c r="J152" s="36" t="str">
        <f>IFERROR(__xludf.DUMMYFUNCTION("IFERROR(INDEX(FILTER('棲息地'!$B$2:$B995 &amp; "" / "" &amp; '棲息地'!$C$2:$C995, ISNUMBER(SEARCH($B152, '棲息地'!$D$2:$D995))), 2), """")"),"")</f>
        <v/>
      </c>
      <c r="K152" s="36" t="str">
        <f>IFERROR(__xludf.DUMMYFUNCTION("IFERROR(INDEX(FILTER('棲息地'!$D$2:$D995, ISNUMBER(SEARCH($B152, '棲息地'!$D$2:$D995))), 2), """")"),"")</f>
        <v/>
      </c>
      <c r="L152" s="36" t="str">
        <f>IFERROR(__xludf.DUMMYFUNCTION("IFERROR(INDEX(FILTER('棲息地'!$D$2:$D995, ISNUMBER(SEARCH($B152, '棲息地'!$D$2:$D995))), 3), """")"),"")</f>
        <v/>
      </c>
      <c r="M152" s="36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22.5" customHeight="1">
      <c r="A153" s="33" t="s">
        <v>1554</v>
      </c>
      <c r="B153" s="34" t="s">
        <v>1555</v>
      </c>
      <c r="C153" s="35" t="s">
        <v>1247</v>
      </c>
      <c r="D153" s="34" t="s">
        <v>1080</v>
      </c>
      <c r="E153" s="35" t="s">
        <v>1200</v>
      </c>
      <c r="F153" s="35" t="s">
        <v>1556</v>
      </c>
      <c r="G153" s="35" t="s">
        <v>1083</v>
      </c>
      <c r="H153" s="36" t="str">
        <f>IFERROR(__xludf.DUMMYFUNCTION("IFERROR(INDEX(FILTER('棲息地'!$B$2:$B995 &amp; "" / "" &amp; '棲息地'!$C$2:$C995, ISNUMBER(SEARCH($B153, '棲息地'!$D$2:$D995))), 1), """")"),"優雅的花田 / 岩場之花 ×4")</f>
        <v>優雅的花田 / 岩場之花 ×4</v>
      </c>
      <c r="I153" s="36" t="str">
        <f>IFERROR(__xludf.DUMMYFUNCTION("IFERROR(INDEX(FILTER('棲息地'!$D$2:$D995, ISNUMBER(SEARCH($B153, '棲息地'!$D$2:$D995))), 1), """")"),"皮寶寶、狗仔包、皮皮、麻花犬、皮可西")</f>
        <v>皮寶寶、狗仔包、皮皮、麻花犬、皮可西</v>
      </c>
      <c r="J153" s="36" t="str">
        <f>IFERROR(__xludf.DUMMYFUNCTION("IFERROR(INDEX(FILTER('棲息地'!$B$2:$B995 &amp; "" / "" &amp; '棲息地'!$C$2:$C995, ISNUMBER(SEARCH($B153, '棲息地'!$D$2:$D995))), 2), """")"),"銅像景點 / 樹籬 ×4、告示牌 ×1")</f>
        <v>銅像景點 / 樹籬 ×4、告示牌 ×1</v>
      </c>
      <c r="K153" s="36" t="str">
        <f>IFERROR(__xludf.DUMMYFUNCTION("IFERROR(INDEX(FILTER('棲息地'!$D$2:$D995, ISNUMBER(SEARCH($B153, '棲息地'!$D$2:$D995))), 2), """")"),"皮皮、皮可西")</f>
        <v>皮皮、皮可西</v>
      </c>
      <c r="L153" s="36" t="str">
        <f>IFERROR(__xludf.DUMMYFUNCTION("IFERROR(INDEX(FILTER('棲息地'!$D$2:$D995, ISNUMBER(SEARCH($B153, '棲息地'!$D$2:$D995))), 3), """")"),"")</f>
        <v/>
      </c>
      <c r="M153" s="36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22.5" customHeight="1">
      <c r="A154" s="33" t="s">
        <v>1557</v>
      </c>
      <c r="B154" s="34" t="s">
        <v>1558</v>
      </c>
      <c r="C154" s="35" t="s">
        <v>1559</v>
      </c>
      <c r="D154" s="34" t="s">
        <v>1080</v>
      </c>
      <c r="E154" s="35" t="s">
        <v>1200</v>
      </c>
      <c r="F154" s="35" t="s">
        <v>1556</v>
      </c>
      <c r="G154" s="35" t="s">
        <v>1087</v>
      </c>
      <c r="H154" s="36" t="str">
        <f>IFERROR(__xludf.DUMMYFUNCTION("IFERROR(INDEX(FILTER('棲息地'!$B$2:$B995 &amp; "" / "" &amp; '棲息地'!$C$2:$C995, ISNUMBER(SEARCH($B154, '棲息地'!$D$2:$D995))), 1), """")"),"優雅的花田 / 岩場之花 ×4")</f>
        <v>優雅的花田 / 岩場之花 ×4</v>
      </c>
      <c r="I154" s="36" t="str">
        <f>IFERROR(__xludf.DUMMYFUNCTION("IFERROR(INDEX(FILTER('棲息地'!$D$2:$D995, ISNUMBER(SEARCH($B154, '棲息地'!$D$2:$D995))), 1), """")"),"皮寶寶、狗仔包、皮皮、麻花犬、皮可西")</f>
        <v>皮寶寶、狗仔包、皮皮、麻花犬、皮可西</v>
      </c>
      <c r="J154" s="36" t="str">
        <f>IFERROR(__xludf.DUMMYFUNCTION("IFERROR(INDEX(FILTER('棲息地'!$B$2:$B995 &amp; "" / "" &amp; '棲息地'!$C$2:$C995, ISNUMBER(SEARCH($B154, '棲息地'!$D$2:$D995))), 2), """")"),"銅像景點 / 樹籬 ×4、告示牌 ×1")</f>
        <v>銅像景點 / 樹籬 ×4、告示牌 ×1</v>
      </c>
      <c r="K154" s="36" t="str">
        <f>IFERROR(__xludf.DUMMYFUNCTION("IFERROR(INDEX(FILTER('棲息地'!$D$2:$D995, ISNUMBER(SEARCH($B154, '棲息地'!$D$2:$D995))), 2), """")"),"皮皮、皮可西")</f>
        <v>皮皮、皮可西</v>
      </c>
      <c r="L154" s="36" t="str">
        <f>IFERROR(__xludf.DUMMYFUNCTION("IFERROR(INDEX(FILTER('棲息地'!$D$2:$D995, ISNUMBER(SEARCH($B154, '棲息地'!$D$2:$D995))), 3), """")"),"")</f>
        <v/>
      </c>
      <c r="M154" s="36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22.5" customHeight="1">
      <c r="A155" s="33" t="s">
        <v>1560</v>
      </c>
      <c r="B155" s="34" t="s">
        <v>1561</v>
      </c>
      <c r="C155" s="35" t="s">
        <v>1247</v>
      </c>
      <c r="D155" s="34" t="s">
        <v>1080</v>
      </c>
      <c r="E155" s="35" t="s">
        <v>1093</v>
      </c>
      <c r="F155" s="35" t="s">
        <v>1562</v>
      </c>
      <c r="G155" s="35" t="s">
        <v>1083</v>
      </c>
      <c r="H155" s="36" t="str">
        <f>IFERROR(__xludf.DUMMYFUNCTION("IFERROR(INDEX(FILTER('棲息地'!$B$2:$B995 &amp; "" / "" &amp; '棲息地'!$C$2:$C995, ISNUMBER(SEARCH($B155, '棲息地'!$D$2:$D995))), 1), """")"),"花田舞台 / 岩場之花 ×4、樹樁 ×1、蘑菇燈 ×2")</f>
        <v>花田舞台 / 岩場之花 ×4、樹樁 ×1、蘑菇燈 ×2</v>
      </c>
      <c r="I155" s="36" t="str">
        <f>IFERROR(__xludf.DUMMYFUNCTION("IFERROR(INDEX(FILTER('棲息地'!$D$2:$D995, ISNUMBER(SEARCH($B155, '棲息地'!$D$2:$D995))), 1), """")"),"胖丁、寶寶丁、蚊香蛙皇")</f>
        <v>胖丁、寶寶丁、蚊香蛙皇</v>
      </c>
      <c r="J155" s="36" t="str">
        <f>IFERROR(__xludf.DUMMYFUNCTION("IFERROR(INDEX(FILTER('棲息地'!$B$2:$B995 &amp; "" / "" &amp; '棲息地'!$C$2:$C995, ISNUMBER(SEARCH($B155, '棲息地'!$D$2:$D995))), 2), """")"),"")</f>
        <v/>
      </c>
      <c r="K155" s="36" t="str">
        <f>IFERROR(__xludf.DUMMYFUNCTION("IFERROR(INDEX(FILTER('棲息地'!$D$2:$D995, ISNUMBER(SEARCH($B155, '棲息地'!$D$2:$D995))), 2), """")"),"")</f>
        <v/>
      </c>
      <c r="L155" s="36" t="str">
        <f>IFERROR(__xludf.DUMMYFUNCTION("IFERROR(INDEX(FILTER('棲息地'!$D$2:$D995, ISNUMBER(SEARCH($B155, '棲息地'!$D$2:$D995))), 3), """")"),"")</f>
        <v/>
      </c>
      <c r="M155" s="36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22.5" customHeight="1">
      <c r="A156" s="33" t="s">
        <v>1563</v>
      </c>
      <c r="B156" s="34" t="s">
        <v>1564</v>
      </c>
      <c r="C156" s="35" t="s">
        <v>1247</v>
      </c>
      <c r="D156" s="34" t="s">
        <v>1080</v>
      </c>
      <c r="E156" s="35" t="s">
        <v>1081</v>
      </c>
      <c r="F156" s="35" t="s">
        <v>1565</v>
      </c>
      <c r="G156" s="35" t="s">
        <v>1083</v>
      </c>
      <c r="H156" s="36" t="str">
        <f>IFERROR(__xludf.DUMMYFUNCTION("IFERROR(INDEX(FILTER('棲息地'!$B$2:$B995 &amp; "" / "" &amp; '棲息地'!$C$2:$C995, ISNUMBER(SEARCH($B156, '棲息地'!$D$2:$D995))), 1), """")"),"花田舞台 / 岩場之花 ×4、樹樁 ×1、蘑菇燈 ×2")</f>
        <v>花田舞台 / 岩場之花 ×4、樹樁 ×1、蘑菇燈 ×2</v>
      </c>
      <c r="I156" s="36" t="str">
        <f>IFERROR(__xludf.DUMMYFUNCTION("IFERROR(INDEX(FILTER('棲息地'!$D$2:$D995, ISNUMBER(SEARCH($B156, '棲息地'!$D$2:$D995))), 1), """")"),"胖丁、寶寶丁、蚊香蛙皇")</f>
        <v>胖丁、寶寶丁、蚊香蛙皇</v>
      </c>
      <c r="J156" s="36" t="str">
        <f>IFERROR(__xludf.DUMMYFUNCTION("IFERROR(INDEX(FILTER('棲息地'!$B$2:$B995 &amp; "" / "" &amp; '棲息地'!$C$2:$C995, ISNUMBER(SEARCH($B156, '棲息地'!$D$2:$D995))), 2), """")"),"演唱會舞台 / 喇叭 ×2、麥克風 ×1、舞台台座 ×1")</f>
        <v>演唱會舞台 / 喇叭 ×2、麥克風 ×1、舞台台座 ×1</v>
      </c>
      <c r="K156" s="36" t="str">
        <f>IFERROR(__xludf.DUMMYFUNCTION("IFERROR(INDEX(FILTER('棲息地'!$D$2:$D995, ISNUMBER(SEARCH($B156, '棲息地'!$D$2:$D995))), 2), """")"),"胖丁、胖可丁")</f>
        <v>胖丁、胖可丁</v>
      </c>
      <c r="L156" s="36" t="str">
        <f>IFERROR(__xludf.DUMMYFUNCTION("IFERROR(INDEX(FILTER('棲息地'!$D$2:$D995, ISNUMBER(SEARCH($B156, '棲息地'!$D$2:$D995))), 3), """")"),"")</f>
        <v/>
      </c>
      <c r="M156" s="36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22.5" customHeight="1">
      <c r="A157" s="33" t="s">
        <v>1566</v>
      </c>
      <c r="B157" s="34" t="s">
        <v>1567</v>
      </c>
      <c r="C157" s="35" t="s">
        <v>1559</v>
      </c>
      <c r="D157" s="34" t="s">
        <v>1080</v>
      </c>
      <c r="E157" s="35" t="s">
        <v>1081</v>
      </c>
      <c r="F157" s="35" t="s">
        <v>1568</v>
      </c>
      <c r="G157" s="35" t="s">
        <v>1087</v>
      </c>
      <c r="H157" s="36" t="str">
        <f>IFERROR(__xludf.DUMMYFUNCTION("IFERROR(INDEX(FILTER('棲息地'!$B$2:$B995 &amp; "" / "" &amp; '棲息地'!$C$2:$C995, ISNUMBER(SEARCH($B157, '棲息地'!$D$2:$D995))), 1), """")"),"演唱會舞台 / 喇叭 ×2、麥克風 ×1、舞台台座 ×1")</f>
        <v>演唱會舞台 / 喇叭 ×2、麥克風 ×1、舞台台座 ×1</v>
      </c>
      <c r="I157" s="36" t="str">
        <f>IFERROR(__xludf.DUMMYFUNCTION("IFERROR(INDEX(FILTER('棲息地'!$D$2:$D995, ISNUMBER(SEARCH($B157, '棲息地'!$D$2:$D995))), 1), """")"),"胖丁、胖可丁")</f>
        <v>胖丁、胖可丁</v>
      </c>
      <c r="J157" s="36" t="str">
        <f>IFERROR(__xludf.DUMMYFUNCTION("IFERROR(INDEX(FILTER('棲息地'!$B$2:$B995 &amp; "" / "" &amp; '棲息地'!$C$2:$C995, ISNUMBER(SEARCH($B157, '棲息地'!$D$2:$D995))), 2), """")"),"")</f>
        <v/>
      </c>
      <c r="K157" s="36" t="str">
        <f>IFERROR(__xludf.DUMMYFUNCTION("IFERROR(INDEX(FILTER('棲息地'!$D$2:$D995, ISNUMBER(SEARCH($B157, '棲息地'!$D$2:$D995))), 2), """")"),"")</f>
        <v/>
      </c>
      <c r="L157" s="36" t="str">
        <f>IFERROR(__xludf.DUMMYFUNCTION("IFERROR(INDEX(FILTER('棲息地'!$D$2:$D995, ISNUMBER(SEARCH($B157, '棲息地'!$D$2:$D995))), 3), """")"),"")</f>
        <v/>
      </c>
      <c r="M157" s="36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22.5" customHeight="1">
      <c r="A158" s="33" t="s">
        <v>1569</v>
      </c>
      <c r="B158" s="34" t="s">
        <v>1570</v>
      </c>
      <c r="C158" s="35" t="s">
        <v>1247</v>
      </c>
      <c r="D158" s="34" t="s">
        <v>1080</v>
      </c>
      <c r="E158" s="35" t="s">
        <v>1200</v>
      </c>
      <c r="F158" s="35" t="s">
        <v>1571</v>
      </c>
      <c r="G158" s="35" t="s">
        <v>1125</v>
      </c>
      <c r="H158" s="36" t="str">
        <f>IFERROR(__xludf.DUMMYFUNCTION("IFERROR(INDEX(FILTER('棲息地'!$B$2:$B995 &amp; "" / "" &amp; '棲息地'!$C$2:$C995, ISNUMBER(SEARCH($B158, '棲息地'!$D$2:$D995))), 1), """")"),"新鮮蔬菜田 / 蔬菜田(任意) ×8")</f>
        <v>新鮮蔬菜田 / 蔬菜田(任意) ×8</v>
      </c>
      <c r="I158" s="36" t="str">
        <f>IFERROR(__xludf.DUMMYFUNCTION("IFERROR(INDEX(FILTER('棲息地'!$D$2:$D995, ISNUMBER(SEARCH($B158, '棲息地'!$D$2:$D995))), 1), """")"),"螺釘地鼠、龍頭地鼠、木木梟（空空鎮)")</f>
        <v>螺釘地鼠、龍頭地鼠、木木梟（空空鎮)</v>
      </c>
      <c r="J158" s="36" t="str">
        <f>IFERROR(__xludf.DUMMYFUNCTION("IFERROR(INDEX(FILTER('棲息地'!$B$2:$B995 &amp; "" / "" &amp; '棲息地'!$C$2:$C995, ISNUMBER(SEARCH($B158, '棲息地'!$D$2:$D995))), 2), """")"),"樹蔭的紅色草叢 / 大樹 ×1、紅草 ×4")</f>
        <v>樹蔭的紅色草叢 / 大樹 ×1、紅草 ×4</v>
      </c>
      <c r="K158" s="36" t="str">
        <f>IFERROR(__xludf.DUMMYFUNCTION("IFERROR(INDEX(FILTER('棲息地'!$D$2:$D995, ISNUMBER(SEARCH($B158, '棲息地'!$D$2:$D995))), 2), """")"),"地鼠、盆才怪、三地鼠、樹才怪")</f>
        <v>地鼠、盆才怪、三地鼠、樹才怪</v>
      </c>
      <c r="L158" s="36" t="str">
        <f>IFERROR(__xludf.DUMMYFUNCTION("IFERROR(INDEX(FILTER('棲息地'!$D$2:$D995, ISNUMBER(SEARCH($B158, '棲息地'!$D$2:$D995))), 3), """")"),"地鼠、晶光芽、晶光花（★）")</f>
        <v>地鼠、晶光芽、晶光花（★）</v>
      </c>
      <c r="M158" s="36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22.5" customHeight="1">
      <c r="A159" s="33" t="s">
        <v>1572</v>
      </c>
      <c r="B159" s="34" t="s">
        <v>1573</v>
      </c>
      <c r="C159" s="35" t="s">
        <v>1574</v>
      </c>
      <c r="D159" s="34" t="s">
        <v>1080</v>
      </c>
      <c r="E159" s="35" t="s">
        <v>1200</v>
      </c>
      <c r="F159" s="35" t="s">
        <v>1575</v>
      </c>
      <c r="G159" s="35" t="s">
        <v>1095</v>
      </c>
      <c r="H159" s="36" t="str">
        <f>IFERROR(__xludf.DUMMYFUNCTION("IFERROR(INDEX(FILTER('棲息地'!$B$2:$B995 &amp; "" / "" &amp; '棲息地'!$C$2:$C995, ISNUMBER(SEARCH($B159, '棲息地'!$D$2:$D995))), 1), """")"),"樹蔭的紅色草叢 / 大樹 ×1、紅草 ×4")</f>
        <v>樹蔭的紅色草叢 / 大樹 ×1、紅草 ×4</v>
      </c>
      <c r="I159" s="36" t="str">
        <f>IFERROR(__xludf.DUMMYFUNCTION("IFERROR(INDEX(FILTER('棲息地'!$D$2:$D995, ISNUMBER(SEARCH($B159, '棲息地'!$D$2:$D995))), 1), """")"),"地鼠、盆才怪、三地鼠、樹才怪")</f>
        <v>地鼠、盆才怪、三地鼠、樹才怪</v>
      </c>
      <c r="J159" s="36" t="str">
        <f>IFERROR(__xludf.DUMMYFUNCTION("IFERROR(INDEX(FILTER('棲息地'!$B$2:$B995 &amp; "" / "" &amp; '棲息地'!$C$2:$C995, ISNUMBER(SEARCH($B159, '棲息地'!$D$2:$D995))), 2), """")"),"")</f>
        <v/>
      </c>
      <c r="K159" s="36" t="str">
        <f>IFERROR(__xludf.DUMMYFUNCTION("IFERROR(INDEX(FILTER('棲息地'!$D$2:$D995, ISNUMBER(SEARCH($B159, '棲息地'!$D$2:$D995))), 2), """")"),"")</f>
        <v/>
      </c>
      <c r="L159" s="36" t="str">
        <f>IFERROR(__xludf.DUMMYFUNCTION("IFERROR(INDEX(FILTER('棲息地'!$D$2:$D995, ISNUMBER(SEARCH($B159, '棲息地'!$D$2:$D995))), 3), """")"),"")</f>
        <v/>
      </c>
      <c r="M159" s="36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22.5" customHeight="1">
      <c r="A160" s="33" t="s">
        <v>1576</v>
      </c>
      <c r="B160" s="34" t="s">
        <v>1577</v>
      </c>
      <c r="C160" s="35" t="s">
        <v>1578</v>
      </c>
      <c r="D160" s="34" t="s">
        <v>1080</v>
      </c>
      <c r="E160" s="35" t="s">
        <v>1081</v>
      </c>
      <c r="F160" s="35" t="s">
        <v>1579</v>
      </c>
      <c r="G160" s="35" t="s">
        <v>1095</v>
      </c>
      <c r="H160" s="36" t="str">
        <f>IFERROR(__xludf.DUMMYFUNCTION("IFERROR(INDEX(FILTER('棲息地'!$B$2:$B995 &amp; "" / "" &amp; '棲息地'!$C$2:$C995, ISNUMBER(SEARCH($B160, '棲息地'!$D$2:$D995))), 1), """")"),"岩影的草地 / 綠草 ×4、大石頭 ×1")</f>
        <v>岩影的草地 / 綠草 ×4、大石頭 ×1</v>
      </c>
      <c r="I160" s="36" t="str">
        <f>IFERROR(__xludf.DUMMYFUNCTION("IFERROR(INDEX(FILTER('棲息地'!$D$2:$D995, ISNUMBER(SEARCH($B160, '棲息地'!$D$2:$D995))), 1), """")"),"搬運小匠、鐵骨土人、腕力（空空鎮)")</f>
        <v>搬運小匠、鐵骨土人、腕力（空空鎮)</v>
      </c>
      <c r="J160" s="36" t="str">
        <f>IFERROR(__xludf.DUMMYFUNCTION("IFERROR(INDEX(FILTER('棲息地'!$B$2:$B995 &amp; "" / "" &amp; '棲息地'!$C$2:$C995, ISNUMBER(SEARCH($B160, '棲息地'!$D$2:$D995))), 2), """")"),"")</f>
        <v/>
      </c>
      <c r="K160" s="36" t="str">
        <f>IFERROR(__xludf.DUMMYFUNCTION("IFERROR(INDEX(FILTER('棲息地'!$D$2:$D995, ISNUMBER(SEARCH($B160, '棲息地'!$D$2:$D995))), 2), """")"),"")</f>
        <v/>
      </c>
      <c r="L160" s="36" t="str">
        <f>IFERROR(__xludf.DUMMYFUNCTION("IFERROR(INDEX(FILTER('棲息地'!$D$2:$D995, ISNUMBER(SEARCH($B160, '棲息地'!$D$2:$D995))), 3), """")"),"")</f>
        <v/>
      </c>
      <c r="M160" s="36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22.5" customHeight="1">
      <c r="A161" s="33" t="s">
        <v>1580</v>
      </c>
      <c r="B161" s="34" t="s">
        <v>1581</v>
      </c>
      <c r="C161" s="35" t="s">
        <v>1578</v>
      </c>
      <c r="D161" s="34" t="s">
        <v>1080</v>
      </c>
      <c r="E161" s="35" t="s">
        <v>1081</v>
      </c>
      <c r="F161" s="35" t="s">
        <v>1582</v>
      </c>
      <c r="G161" s="35" t="s">
        <v>1087</v>
      </c>
      <c r="H161" s="36" t="str">
        <f>IFERROR(__xludf.DUMMYFUNCTION("IFERROR(INDEX(FILTER('棲息地'!$B$2:$B995 &amp; "" / "" &amp; '棲息地'!$C$2:$C995, ISNUMBER(SEARCH($B161, '棲息地'!$D$2:$D995))), 1), """")"),"草叢訓練場 / 沙包袋 ×2、紅草 ×4")</f>
        <v>草叢訓練場 / 沙包袋 ×2、紅草 ×4</v>
      </c>
      <c r="I161" s="36" t="str">
        <f>IFERROR(__xludf.DUMMYFUNCTION("IFERROR(INDEX(FILTER('棲息地'!$D$2:$D995, ISNUMBER(SEARCH($B161, '棲息地'!$D$2:$D995))), 1), """")"),"豪力、怪力")</f>
        <v>豪力、怪力</v>
      </c>
      <c r="J161" s="36" t="str">
        <f>IFERROR(__xludf.DUMMYFUNCTION("IFERROR(INDEX(FILTER('棲息地'!$B$2:$B995 &amp; "" / "" &amp; '棲息地'!$C$2:$C995, ISNUMBER(SEARCH($B161, '棲息地'!$D$2:$D995))), 2), """")"),"跟著節奏一二跳 / 沙包 ×1、桌子 ×1、CD播放器 ×1")</f>
        <v>跟著節奏一二跳 / 沙包 ×1、桌子 ×1、CD播放器 ×1</v>
      </c>
      <c r="K161" s="36" t="str">
        <f>IFERROR(__xludf.DUMMYFUNCTION("IFERROR(INDEX(FILTER('棲息地'!$D$2:$D995, ISNUMBER(SEARCH($B161, '棲息地'!$D$2:$D995))), 2), """")"),"豪力、利歐路、路卡利歐")</f>
        <v>豪力、利歐路、路卡利歐</v>
      </c>
      <c r="L161" s="36" t="str">
        <f>IFERROR(__xludf.DUMMYFUNCTION("IFERROR(INDEX(FILTER('棲息地'!$D$2:$D995, ISNUMBER(SEARCH($B161, '棲息地'!$D$2:$D995))), 3), """")"),"")</f>
        <v/>
      </c>
      <c r="M161" s="36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22.5" customHeight="1">
      <c r="A162" s="33" t="s">
        <v>1583</v>
      </c>
      <c r="B162" s="34" t="s">
        <v>1584</v>
      </c>
      <c r="C162" s="35" t="s">
        <v>1578</v>
      </c>
      <c r="D162" s="34" t="s">
        <v>1080</v>
      </c>
      <c r="E162" s="35" t="s">
        <v>1081</v>
      </c>
      <c r="F162" s="35" t="s">
        <v>1582</v>
      </c>
      <c r="G162" s="35" t="s">
        <v>1095</v>
      </c>
      <c r="H162" s="36" t="str">
        <f>IFERROR(__xludf.DUMMYFUNCTION("IFERROR(INDEX(FILTER('棲息地'!$B$2:$B995 &amp; "" / "" &amp; '棲息地'!$C$2:$C995, ISNUMBER(SEARCH($B162, '棲息地'!$D$2:$D995))), 1), """")"),"草叢訓練場 / 沙包袋 ×2、紅草 ×4")</f>
        <v>草叢訓練場 / 沙包袋 ×2、紅草 ×4</v>
      </c>
      <c r="I162" s="36" t="str">
        <f>IFERROR(__xludf.DUMMYFUNCTION("IFERROR(INDEX(FILTER('棲息地'!$D$2:$D995, ISNUMBER(SEARCH($B162, '棲息地'!$D$2:$D995))), 1), """")"),"豪力、怪力")</f>
        <v>豪力、怪力</v>
      </c>
      <c r="J162" s="36" t="str">
        <f>IFERROR(__xludf.DUMMYFUNCTION("IFERROR(INDEX(FILTER('棲息地'!$B$2:$B995 &amp; "" / "" &amp; '棲息地'!$C$2:$C995, ISNUMBER(SEARCH($B162, '棲息地'!$D$2:$D995))), 2), """")"),"")</f>
        <v/>
      </c>
      <c r="K162" s="36" t="str">
        <f>IFERROR(__xludf.DUMMYFUNCTION("IFERROR(INDEX(FILTER('棲息地'!$D$2:$D995, ISNUMBER(SEARCH($B162, '棲息地'!$D$2:$D995))), 2), """")"),"")</f>
        <v/>
      </c>
      <c r="L162" s="36" t="str">
        <f>IFERROR(__xludf.DUMMYFUNCTION("IFERROR(INDEX(FILTER('棲息地'!$D$2:$D995, ISNUMBER(SEARCH($B162, '棲息地'!$D$2:$D995))), 3), """")"),"")</f>
        <v/>
      </c>
      <c r="M162" s="36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22.5" customHeight="1">
      <c r="A163" s="33" t="s">
        <v>1585</v>
      </c>
      <c r="B163" s="34" t="s">
        <v>1586</v>
      </c>
      <c r="C163" s="35" t="s">
        <v>1587</v>
      </c>
      <c r="D163" s="34" t="s">
        <v>1080</v>
      </c>
      <c r="E163" s="35" t="s">
        <v>1200</v>
      </c>
      <c r="F163" s="35" t="s">
        <v>1588</v>
      </c>
      <c r="G163" s="35" t="s">
        <v>1129</v>
      </c>
      <c r="H163" s="36" t="str">
        <f>IFERROR(__xludf.DUMMYFUNCTION("IFERROR(INDEX(FILTER('棲息地'!$B$2:$B995 &amp; "" / "" &amp; '棲息地'!$C$2:$C995, ISNUMBER(SEARCH($B163, '棲息地'!$D$2:$D995))), 1), """")"),"綠色的草叢 / 綠草 ×4")</f>
        <v>綠色的草叢 / 綠草 ×4</v>
      </c>
      <c r="I163" s="36" t="str">
        <f>IFERROR(__xludf.DUMMYFUNCTION("IFERROR(INDEX(FILTER('棲息地'!$D$2:$D995, ISNUMBER(SEARCH($B163, '棲息地'!$D$2:$D995))), 1), """")"),"妙蛙種子、小火龍、噴火龍、傑尼龜、走路草、小拳石（空空鎮)")</f>
        <v>妙蛙種子、小火龍、噴火龍、傑尼龜、走路草、小拳石（空空鎮)</v>
      </c>
      <c r="J163" s="36" t="str">
        <f>IFERROR(__xludf.DUMMYFUNCTION("IFERROR(INDEX(FILTER('棲息地'!$B$2:$B995 &amp; "" / "" &amp; '棲息地'!$C$2:$C995, ISNUMBER(SEARCH($B163, '棲息地'!$D$2:$D995))), 2), """")"),"")</f>
        <v/>
      </c>
      <c r="K163" s="36" t="str">
        <f>IFERROR(__xludf.DUMMYFUNCTION("IFERROR(INDEX(FILTER('棲息地'!$D$2:$D995, ISNUMBER(SEARCH($B163, '棲息地'!$D$2:$D995))), 2), """")"),"")</f>
        <v/>
      </c>
      <c r="L163" s="36" t="str">
        <f>IFERROR(__xludf.DUMMYFUNCTION("IFERROR(INDEX(FILTER('棲息地'!$D$2:$D995, ISNUMBER(SEARCH($B163, '棲息地'!$D$2:$D995))), 3), """")"),"")</f>
        <v/>
      </c>
      <c r="M163" s="36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22.5" customHeight="1">
      <c r="A164" s="33" t="s">
        <v>1589</v>
      </c>
      <c r="B164" s="34" t="s">
        <v>1590</v>
      </c>
      <c r="C164" s="35" t="s">
        <v>1587</v>
      </c>
      <c r="D164" s="34" t="s">
        <v>1080</v>
      </c>
      <c r="E164" s="35" t="s">
        <v>1200</v>
      </c>
      <c r="F164" s="35" t="s">
        <v>1588</v>
      </c>
      <c r="G164" s="35" t="s">
        <v>1125</v>
      </c>
      <c r="H164" s="36" t="str">
        <f>IFERROR(__xludf.DUMMYFUNCTION("IFERROR(INDEX(FILTER('棲息地'!$B$2:$B995 &amp; "" / "" &amp; '棲息地'!$C$2:$C995, ISNUMBER(SEARCH($B164, '棲息地'!$D$2:$D995))), 1), """")"),"滿滿是苔的岩石 / 青苔 ×4、苔岩 ×1")</f>
        <v>滿滿是苔的岩石 / 青苔 ×4、苔岩 ×1</v>
      </c>
      <c r="I164" s="36" t="str">
        <f>IFERROR(__xludf.DUMMYFUNCTION("IFERROR(INDEX(FILTER('棲息地'!$D$2:$D995, ISNUMBER(SEARCH($B164, '棲息地'!$D$2:$D995))), 1), """")"),"隆隆石、隆隆岩")</f>
        <v>隆隆石、隆隆岩</v>
      </c>
      <c r="J164" s="36" t="str">
        <f>IFERROR(__xludf.DUMMYFUNCTION("IFERROR(INDEX(FILTER('棲息地'!$B$2:$B995 &amp; "" / "" &amp; '棲息地'!$C$2:$C995, ISNUMBER(SEARCH($B164, '棲息地'!$D$2:$D995))), 2), """")"),"")</f>
        <v/>
      </c>
      <c r="K164" s="36" t="str">
        <f>IFERROR(__xludf.DUMMYFUNCTION("IFERROR(INDEX(FILTER('棲息地'!$D$2:$D995, ISNUMBER(SEARCH($B164, '棲息地'!$D$2:$D995))), 2), """")"),"")</f>
        <v/>
      </c>
      <c r="L164" s="36" t="str">
        <f>IFERROR(__xludf.DUMMYFUNCTION("IFERROR(INDEX(FILTER('棲息地'!$D$2:$D995, ISNUMBER(SEARCH($B164, '棲息地'!$D$2:$D995))), 3), """")"),"")</f>
        <v/>
      </c>
      <c r="M164" s="36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22.5" customHeight="1">
      <c r="A165" s="33" t="s">
        <v>1591</v>
      </c>
      <c r="B165" s="34" t="s">
        <v>1592</v>
      </c>
      <c r="C165" s="35" t="s">
        <v>1593</v>
      </c>
      <c r="D165" s="34" t="s">
        <v>1080</v>
      </c>
      <c r="E165" s="35" t="s">
        <v>1200</v>
      </c>
      <c r="F165" s="35" t="s">
        <v>1588</v>
      </c>
      <c r="G165" s="35" t="s">
        <v>1087</v>
      </c>
      <c r="H165" s="36" t="str">
        <f>IFERROR(__xludf.DUMMYFUNCTION("IFERROR(INDEX(FILTER('棲息地'!$B$2:$B995 &amp; "" / "" &amp; '棲息地'!$C$2:$C995, ISNUMBER(SEARCH($B165, '棲息地'!$D$2:$D995))), 1), """")"),"滿滿是苔的岩石 / 青苔 ×4、苔岩 ×1")</f>
        <v>滿滿是苔的岩石 / 青苔 ×4、苔岩 ×1</v>
      </c>
      <c r="I165" s="36" t="str">
        <f>IFERROR(__xludf.DUMMYFUNCTION("IFERROR(INDEX(FILTER('棲息地'!$D$2:$D995, ISNUMBER(SEARCH($B165, '棲息地'!$D$2:$D995))), 1), """")"),"隆隆石、隆隆岩")</f>
        <v>隆隆石、隆隆岩</v>
      </c>
      <c r="J165" s="36" t="str">
        <f>IFERROR(__xludf.DUMMYFUNCTION("IFERROR(INDEX(FILTER('棲息地'!$B$2:$B995 &amp; "" / "" &amp; '棲息地'!$C$2:$C995, ISNUMBER(SEARCH($B165, '棲息地'!$D$2:$D995))), 2), """")"),"")</f>
        <v/>
      </c>
      <c r="K165" s="36" t="str">
        <f>IFERROR(__xludf.DUMMYFUNCTION("IFERROR(INDEX(FILTER('棲息地'!$D$2:$D995, ISNUMBER(SEARCH($B165, '棲息地'!$D$2:$D995))), 2), """")"),"")</f>
        <v/>
      </c>
      <c r="L165" s="36" t="str">
        <f>IFERROR(__xludf.DUMMYFUNCTION("IFERROR(INDEX(FILTER('棲息地'!$D$2:$D995, ISNUMBER(SEARCH($B165, '棲息地'!$D$2:$D995))), 3), """")"),"")</f>
        <v/>
      </c>
      <c r="M165" s="36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22.5" customHeight="1">
      <c r="A166" s="33" t="s">
        <v>1594</v>
      </c>
      <c r="B166" s="34" t="s">
        <v>1595</v>
      </c>
      <c r="C166" s="35" t="s">
        <v>2</v>
      </c>
      <c r="D166" s="34" t="s">
        <v>1080</v>
      </c>
      <c r="E166" s="35" t="s">
        <v>1093</v>
      </c>
      <c r="F166" s="35" t="s">
        <v>1596</v>
      </c>
      <c r="G166" s="35" t="s">
        <v>1083</v>
      </c>
      <c r="H166" s="36" t="str">
        <f>IFERROR(__xludf.DUMMYFUNCTION("IFERROR(INDEX(FILTER('棲息地'!$B$2:$B995 &amp; "" / "" &amp; '棲息地'!$C$2:$C995, ISNUMBER(SEARCH($B166, '棲息地'!$D$2:$D995))), 1), """")"),"漂亮的花田 / 原野之花 ×4")</f>
        <v>漂亮的花田 / 原野之花 ×4</v>
      </c>
      <c r="I166" s="36" t="str">
        <f>IFERROR(__xludf.DUMMYFUNCTION("IFERROR(INDEX(FILTER('棲息地'!$D$2:$D995, ISNUMBER(SEARCH($B166, '棲息地'!$D$2:$D995))), 1), """")"),"咕咕、三蜜蜂、伊布、波波（空空鎮)、鴨嘴寶寶（空空鎮)")</f>
        <v>咕咕、三蜜蜂、伊布、波波（空空鎮)、鴨嘴寶寶（空空鎮)</v>
      </c>
      <c r="J166" s="36" t="str">
        <f>IFERROR(__xludf.DUMMYFUNCTION("IFERROR(INDEX(FILTER('棲息地'!$B$2:$B995 &amp; "" / "" &amp; '棲息地'!$C$2:$C995, ISNUMBER(SEARCH($B166, '棲息地'!$D$2:$D995))), 2), """")"),"")</f>
        <v/>
      </c>
      <c r="K166" s="36" t="str">
        <f>IFERROR(__xludf.DUMMYFUNCTION("IFERROR(INDEX(FILTER('棲息地'!$D$2:$D995, ISNUMBER(SEARCH($B166, '棲息地'!$D$2:$D995))), 2), """")"),"")</f>
        <v/>
      </c>
      <c r="L166" s="36" t="str">
        <f>IFERROR(__xludf.DUMMYFUNCTION("IFERROR(INDEX(FILTER('棲息地'!$D$2:$D995, ISNUMBER(SEARCH($B166, '棲息地'!$D$2:$D995))), 3), """")"),"")</f>
        <v/>
      </c>
      <c r="M166" s="36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22.5" customHeight="1">
      <c r="A167" s="33" t="s">
        <v>1597</v>
      </c>
      <c r="B167" s="34" t="s">
        <v>587</v>
      </c>
      <c r="C167" s="35" t="s">
        <v>2</v>
      </c>
      <c r="D167" s="34" t="s">
        <v>1080</v>
      </c>
      <c r="E167" s="35" t="s">
        <v>1093</v>
      </c>
      <c r="F167" s="35" t="s">
        <v>1598</v>
      </c>
      <c r="G167" s="35" t="s">
        <v>1083</v>
      </c>
      <c r="H167" s="36" t="str">
        <f>IFERROR(__xludf.DUMMYFUNCTION("IFERROR(INDEX(FILTER('棲息地'!$B$2:$B995 &amp; "" / "" &amp; '棲息地'!$C$2:$C995, ISNUMBER(SEARCH($B167, '棲息地'!$D$2:$D995))), 1), """")"),"挖挖又燒燒 / 獨輪手推車 ×1、熔爐 ×1、挖礦工具 ×1")</f>
        <v>挖挖又燒燒 / 獨輪手推車 ×1、熔爐 ×1、挖礦工具 ×1</v>
      </c>
      <c r="I167" s="36" t="str">
        <f>IFERROR(__xludf.DUMMYFUNCTION("IFERROR(INDEX(FILTER('棲息地'!$D$2:$D995, ISNUMBER(SEARCH($B167, '棲息地'!$D$2:$D995))), 1), """")"),"鴨嘴火獸")</f>
        <v>鴨嘴火獸</v>
      </c>
      <c r="J167" s="36" t="str">
        <f>IFERROR(__xludf.DUMMYFUNCTION("IFERROR(INDEX(FILTER('棲息地'!$B$2:$B995 &amp; "" / "" &amp; '棲息地'!$C$2:$C995, ISNUMBER(SEARCH($B167, '棲息地'!$D$2:$D995))), 2), """")"),"")</f>
        <v/>
      </c>
      <c r="K167" s="36" t="str">
        <f>IFERROR(__xludf.DUMMYFUNCTION("IFERROR(INDEX(FILTER('棲息地'!$D$2:$D995, ISNUMBER(SEARCH($B167, '棲息地'!$D$2:$D995))), 2), """")"),"")</f>
        <v/>
      </c>
      <c r="L167" s="36" t="str">
        <f>IFERROR(__xludf.DUMMYFUNCTION("IFERROR(INDEX(FILTER('棲息地'!$D$2:$D995, ISNUMBER(SEARCH($B167, '棲息地'!$D$2:$D995))), 3), """")"),"")</f>
        <v/>
      </c>
      <c r="M167" s="36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22.5" customHeight="1">
      <c r="A168" s="33" t="s">
        <v>1599</v>
      </c>
      <c r="B168" s="34" t="s">
        <v>616</v>
      </c>
      <c r="C168" s="35" t="s">
        <v>1600</v>
      </c>
      <c r="D168" s="34" t="s">
        <v>1080</v>
      </c>
      <c r="E168" s="35" t="s">
        <v>1093</v>
      </c>
      <c r="F168" s="35" t="s">
        <v>1598</v>
      </c>
      <c r="G168" s="35" t="s">
        <v>1129</v>
      </c>
      <c r="H168" s="36" t="str">
        <f>IFERROR(__xludf.DUMMYFUNCTION("IFERROR(INDEX(FILTER('棲息地'!$B$2:$B995 &amp; "" / "" &amp; '棲息地'!$C$2:$C995, ISNUMBER(SEARCH($B168, '棲息地'!$D$2:$D995))), 1), """")"),"迷你廚房 / (廚房組)")</f>
        <v>迷你廚房 / (廚房組)</v>
      </c>
      <c r="I168" s="36" t="str">
        <f>IFERROR(__xludf.DUMMYFUNCTION("IFERROR(INDEX(FILTER('棲息地'!$D$2:$D995, ISNUMBER(SEARCH($B168, '棲息地'!$D$2:$D995))), 1), """")"),"鴨嘴炎獸")</f>
        <v>鴨嘴炎獸</v>
      </c>
      <c r="J168" s="36" t="str">
        <f>IFERROR(__xludf.DUMMYFUNCTION("IFERROR(INDEX(FILTER('棲息地'!$B$2:$B995 &amp; "" / "" &amp; '棲息地'!$C$2:$C995, ISNUMBER(SEARCH($B168, '棲息地'!$D$2:$D995))), 2), """")"),"")</f>
        <v/>
      </c>
      <c r="K168" s="36" t="str">
        <f>IFERROR(__xludf.DUMMYFUNCTION("IFERROR(INDEX(FILTER('棲息地'!$D$2:$D995, ISNUMBER(SEARCH($B168, '棲息地'!$D$2:$D995))), 2), """")"),"")</f>
        <v/>
      </c>
      <c r="L168" s="36" t="str">
        <f>IFERROR(__xludf.DUMMYFUNCTION("IFERROR(INDEX(FILTER('棲息地'!$D$2:$D995, ISNUMBER(SEARCH($B168, '棲息地'!$D$2:$D995))), 3), """")"),"")</f>
        <v/>
      </c>
      <c r="M168" s="36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22.5" customHeight="1">
      <c r="A169" s="33" t="s">
        <v>1601</v>
      </c>
      <c r="B169" s="34" t="s">
        <v>1602</v>
      </c>
      <c r="C169" s="35" t="s">
        <v>1422</v>
      </c>
      <c r="D169" s="34" t="s">
        <v>1080</v>
      </c>
      <c r="E169" s="35" t="s">
        <v>1180</v>
      </c>
      <c r="F169" s="35" t="s">
        <v>1603</v>
      </c>
      <c r="G169" s="35" t="s">
        <v>1087</v>
      </c>
      <c r="H169" s="36" t="str">
        <f>IFERROR(__xludf.DUMMYFUNCTION("IFERROR(INDEX(FILTER('棲息地'!$B$2:$B995 &amp; "" / "" &amp; '棲息地'!$C$2:$C995, ISNUMBER(SEARCH($B169, '棲息地'!$D$2:$D995))), 1), """")"),"樹蔭的紅色草叢 / 大樹 ×1、紅草 ×4")</f>
        <v>樹蔭的紅色草叢 / 大樹 ×1、紅草 ×4</v>
      </c>
      <c r="I169" s="36" t="str">
        <f>IFERROR(__xludf.DUMMYFUNCTION("IFERROR(INDEX(FILTER('棲息地'!$D$2:$D995, ISNUMBER(SEARCH($B169, '棲息地'!$D$2:$D995))), 1), """")"),"地鼠、盆才怪、三地鼠、樹才怪")</f>
        <v>地鼠、盆才怪、三地鼠、樹才怪</v>
      </c>
      <c r="J169" s="36" t="str">
        <f>IFERROR(__xludf.DUMMYFUNCTION("IFERROR(INDEX(FILTER('棲息地'!$B$2:$B995 &amp; "" / "" &amp; '棲息地'!$C$2:$C995, ISNUMBER(SEARCH($B169, '棲息地'!$D$2:$D995))), 2), """")"),"")</f>
        <v/>
      </c>
      <c r="K169" s="36" t="str">
        <f>IFERROR(__xludf.DUMMYFUNCTION("IFERROR(INDEX(FILTER('棲息地'!$D$2:$D995, ISNUMBER(SEARCH($B169, '棲息地'!$D$2:$D995))), 2), """")"),"")</f>
        <v/>
      </c>
      <c r="L169" s="36" t="str">
        <f>IFERROR(__xludf.DUMMYFUNCTION("IFERROR(INDEX(FILTER('棲息地'!$D$2:$D995, ISNUMBER(SEARCH($B169, '棲息地'!$D$2:$D995))), 3), """")"),"")</f>
        <v/>
      </c>
      <c r="M169" s="36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22.5" customHeight="1">
      <c r="A170" s="33" t="s">
        <v>1604</v>
      </c>
      <c r="B170" s="34" t="s">
        <v>620</v>
      </c>
      <c r="C170" s="35" t="s">
        <v>1192</v>
      </c>
      <c r="D170" s="34" t="s">
        <v>1080</v>
      </c>
      <c r="E170" s="35" t="s">
        <v>1180</v>
      </c>
      <c r="F170" s="35" t="s">
        <v>1605</v>
      </c>
      <c r="G170" s="35" t="s">
        <v>1129</v>
      </c>
      <c r="H170" s="36" t="str">
        <f>IFERROR(__xludf.DUMMYFUNCTION("IFERROR(INDEX(FILTER('棲息地'!$B$2:$B995 &amp; "" / "" &amp; '棲息地'!$C$2:$C995, ISNUMBER(SEARCH($B170, '棲息地'!$D$2:$D995))), 1), """")"),"樹蔭的紅色草叢 / 大樹 ×1、紅草 ×4")</f>
        <v>樹蔭的紅色草叢 / 大樹 ×1、紅草 ×4</v>
      </c>
      <c r="I170" s="36" t="str">
        <f>IFERROR(__xludf.DUMMYFUNCTION("IFERROR(INDEX(FILTER('棲息地'!$D$2:$D995, ISNUMBER(SEARCH($B170, '棲息地'!$D$2:$D995))), 1), """")"),"地鼠、盆才怪、三地鼠、樹才怪")</f>
        <v>地鼠、盆才怪、三地鼠、樹才怪</v>
      </c>
      <c r="J170" s="36" t="str">
        <f>IFERROR(__xludf.DUMMYFUNCTION("IFERROR(INDEX(FILTER('棲息地'!$B$2:$B995 &amp; "" / "" &amp; '棲息地'!$C$2:$C995, ISNUMBER(SEARCH($B170, '棲息地'!$D$2:$D995))), 2), """")"),"大家一起派對 / 盤子上的食物 ×1")</f>
        <v>大家一起派對 / 盤子上的食物 ×1</v>
      </c>
      <c r="K170" s="36" t="str">
        <f>IFERROR(__xludf.DUMMYFUNCTION("IFERROR(INDEX(FILTER('棲息地'!$D$2:$D995, ISNUMBER(SEARCH($B170, '棲息地'!$D$2:$D995))), 2), """")"),"樹才怪")</f>
        <v>樹才怪</v>
      </c>
      <c r="L170" s="36" t="str">
        <f>IFERROR(__xludf.DUMMYFUNCTION("IFERROR(INDEX(FILTER('棲息地'!$D$2:$D995, ISNUMBER(SEARCH($B170, '棲息地'!$D$2:$D995))), 3), """")"),"")</f>
        <v/>
      </c>
      <c r="M170" s="36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22.5" customHeight="1">
      <c r="A171" s="33" t="s">
        <v>1606</v>
      </c>
      <c r="B171" s="35" t="s">
        <v>1607</v>
      </c>
      <c r="C171" s="35" t="s">
        <v>1237</v>
      </c>
      <c r="D171" s="34" t="s">
        <v>1080</v>
      </c>
      <c r="E171" s="35" t="s">
        <v>1200</v>
      </c>
      <c r="F171" s="35" t="s">
        <v>1608</v>
      </c>
      <c r="G171" s="35" t="s">
        <v>1125</v>
      </c>
      <c r="H171" s="36" t="str">
        <f>IFERROR(__xludf.DUMMYFUNCTION("IFERROR(INDEX(FILTER('棲息地'!$B$2:$B995 &amp; "" / "" &amp; '棲息地'!$C$2:$C995, ISNUMBER(SEARCH($B171, '棲息地'!$D$2:$D995))), 1), """")"),"高崗的紅色草叢 / 紅草 ×4、高處 ×1")</f>
        <v>高崗的紅色草叢 / 紅草 ×4、高處 ×1</v>
      </c>
      <c r="I171" s="36" t="str">
        <f>IFERROR(__xludf.DUMMYFUNCTION("IFERROR(INDEX(FILTER('棲息地'!$D$2:$D995, ISNUMBER(SEARCH($B171, '棲息地'!$D$2:$D995))), 1), """")"),"聒噪鳥、黑暗鴉、烏鴉頭頭")</f>
        <v>聒噪鳥、黑暗鴉、烏鴉頭頭</v>
      </c>
      <c r="J171" s="36" t="str">
        <f>IFERROR(__xludf.DUMMYFUNCTION("IFERROR(INDEX(FILTER('棲息地'!$B$2:$B995 &amp; "" / "" &amp; '棲息地'!$C$2:$C995, ISNUMBER(SEARCH($B171, '棲息地'!$D$2:$D995))), 2), """")"),"樹蔭的優雅花田 / 岩場之花 ×4")</f>
        <v>樹蔭的優雅花田 / 岩場之花 ×4</v>
      </c>
      <c r="K171" s="36" t="str">
        <f>IFERROR(__xludf.DUMMYFUNCTION("IFERROR(INDEX(FILTER('棲息地'!$D$2:$D995, ISNUMBER(SEARCH($B171, '棲息地'!$D$2:$D995))), 2), """")"),"黑暗鴉、燃燒蟲、火神蛾")</f>
        <v>黑暗鴉、燃燒蟲、火神蛾</v>
      </c>
      <c r="L171" s="36" t="str">
        <f>IFERROR(__xludf.DUMMYFUNCTION("IFERROR(INDEX(FILTER('棲息地'!$D$2:$D995, ISNUMBER(SEARCH($B171, '棲息地'!$D$2:$D995))), 3), """")"),"")</f>
        <v/>
      </c>
      <c r="M171" s="36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22.5" customHeight="1">
      <c r="A172" s="33" t="s">
        <v>1609</v>
      </c>
      <c r="B172" s="34" t="s">
        <v>1610</v>
      </c>
      <c r="C172" s="35" t="s">
        <v>1237</v>
      </c>
      <c r="D172" s="34" t="s">
        <v>1080</v>
      </c>
      <c r="E172" s="35" t="s">
        <v>1200</v>
      </c>
      <c r="F172" s="35" t="s">
        <v>1611</v>
      </c>
      <c r="G172" s="35" t="s">
        <v>1125</v>
      </c>
      <c r="H172" s="36" t="str">
        <f>IFERROR(__xludf.DUMMYFUNCTION("IFERROR(INDEX(FILTER('棲息地'!$B$2:$B995 &amp; "" / "" &amp; '棲息地'!$C$2:$C995, ISNUMBER(SEARCH($B172, '棲息地'!$D$2:$D995))), 1), """")"),"高崗的紅色草叢 / 紅草 ×4、高處 ×1")</f>
        <v>高崗的紅色草叢 / 紅草 ×4、高處 ×1</v>
      </c>
      <c r="I172" s="36" t="str">
        <f>IFERROR(__xludf.DUMMYFUNCTION("IFERROR(INDEX(FILTER('棲息地'!$D$2:$D995, ISNUMBER(SEARCH($B172, '棲息地'!$D$2:$D995))), 1), """")"),"聒噪鳥、黑暗鴉、烏鴉頭頭")</f>
        <v>聒噪鳥、黑暗鴉、烏鴉頭頭</v>
      </c>
      <c r="J172" s="36" t="str">
        <f>IFERROR(__xludf.DUMMYFUNCTION("IFERROR(INDEX(FILTER('棲息地'!$B$2:$B995 &amp; "" / "" &amp; '棲息地'!$C$2:$C995, ISNUMBER(SEARCH($B172, '棲息地'!$D$2:$D995))), 2), """")"),"啁啁啾啾演唱會 / 棲木 ×1、直立式麥克風 ×1")</f>
        <v>啁啁啾啾演唱會 / 棲木 ×1、直立式麥克風 ×1</v>
      </c>
      <c r="K172" s="36" t="str">
        <f>IFERROR(__xludf.DUMMYFUNCTION("IFERROR(INDEX(FILTER('棲息地'!$D$2:$D995, ISNUMBER(SEARCH($B172, '棲息地'!$D$2:$D995))), 2), """")"),"聒噪鳥、烏鴉頭頭")</f>
        <v>聒噪鳥、烏鴉頭頭</v>
      </c>
      <c r="L172" s="36" t="str">
        <f>IFERROR(__xludf.DUMMYFUNCTION("IFERROR(INDEX(FILTER('棲息地'!$D$2:$D995, ISNUMBER(SEARCH($B172, '棲息地'!$D$2:$D995))), 3), """")"),"")</f>
        <v/>
      </c>
      <c r="M172" s="36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22.5" customHeight="1">
      <c r="A173" s="33" t="s">
        <v>1612</v>
      </c>
      <c r="B173" s="34" t="s">
        <v>1613</v>
      </c>
      <c r="C173" s="35" t="s">
        <v>1614</v>
      </c>
      <c r="D173" s="34" t="s">
        <v>1080</v>
      </c>
      <c r="E173" s="35" t="s">
        <v>1200</v>
      </c>
      <c r="F173" s="35" t="s">
        <v>1615</v>
      </c>
      <c r="G173" s="35" t="s">
        <v>1083</v>
      </c>
      <c r="H173" s="36" t="str">
        <f>IFERROR(__xludf.DUMMYFUNCTION("IFERROR(INDEX(FILTER('棲息地'!$B$2:$B995 &amp; "" / "" &amp; '棲息地'!$C$2:$C995, ISNUMBER(SEARCH($B173, '棲息地'!$D$2:$D995))), 1), """")"),"滿滿是苔 / 青苔 ×4")</f>
        <v>滿滿是苔 / 青苔 ×4</v>
      </c>
      <c r="I173" s="36" t="str">
        <f>IFERROR(__xludf.DUMMYFUNCTION("IFERROR(INDEX(FILTER('棲息地'!$D$2:$D995, ISNUMBER(SEARCH($B173, '棲息地'!$D$2:$D995))), 1), """")"),"幼基拉斯、班基拉斯")</f>
        <v>幼基拉斯、班基拉斯</v>
      </c>
      <c r="J173" s="36" t="str">
        <f>IFERROR(__xludf.DUMMYFUNCTION("IFERROR(INDEX(FILTER('棲息地'!$B$2:$B995 &amp; "" / "" &amp; '棲息地'!$C$2:$C995, ISNUMBER(SEARCH($B173, '棲息地'!$D$2:$D995))), 2), """")"),"")</f>
        <v/>
      </c>
      <c r="K173" s="36" t="str">
        <f>IFERROR(__xludf.DUMMYFUNCTION("IFERROR(INDEX(FILTER('棲息地'!$D$2:$D995, ISNUMBER(SEARCH($B173, '棲息地'!$D$2:$D995))), 2), """")"),"")</f>
        <v/>
      </c>
      <c r="L173" s="36" t="str">
        <f>IFERROR(__xludf.DUMMYFUNCTION("IFERROR(INDEX(FILTER('棲息地'!$D$2:$D995, ISNUMBER(SEARCH($B173, '棲息地'!$D$2:$D995))), 3), """")"),"")</f>
        <v/>
      </c>
      <c r="M173" s="36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22.5" customHeight="1">
      <c r="A174" s="33" t="s">
        <v>1616</v>
      </c>
      <c r="B174" s="34" t="s">
        <v>1617</v>
      </c>
      <c r="C174" s="35" t="s">
        <v>1614</v>
      </c>
      <c r="D174" s="34" t="s">
        <v>1080</v>
      </c>
      <c r="E174" s="35" t="s">
        <v>1200</v>
      </c>
      <c r="F174" s="35" t="s">
        <v>1618</v>
      </c>
      <c r="G174" s="35" t="s">
        <v>1129</v>
      </c>
      <c r="H174" s="36" t="str">
        <f>IFERROR(__xludf.DUMMYFUNCTION("IFERROR(INDEX(FILTER('棲息地'!$B$2:$B995 &amp; "" / "" &amp; '棲息地'!$C$2:$C995, ISNUMBER(SEARCH($B174, '棲息地'!$D$2:$D995))), 1), """")"),"樹蔭的粉色草叢 / 大樹 ×1、粉紅草 ×4")</f>
        <v>樹蔭的粉色草叢 / 大樹 ×1、粉紅草 ×4</v>
      </c>
      <c r="I174" s="36" t="str">
        <f>IFERROR(__xludf.DUMMYFUNCTION("IFERROR(INDEX(FILTER('棲息地'!$D$2:$D995, ISNUMBER(SEARCH($B174, '棲息地'!$D$2:$D995))), 1), """")"),"沙基拉斯、多龍梅西亞/奇、新葉喵")</f>
        <v>沙基拉斯、多龍梅西亞/奇、新葉喵</v>
      </c>
      <c r="J174" s="36" t="str">
        <f>IFERROR(__xludf.DUMMYFUNCTION("IFERROR(INDEX(FILTER('棲息地'!$B$2:$B995 &amp; "" / "" &amp; '棲息地'!$C$2:$C995, ISNUMBER(SEARCH($B174, '棲息地'!$D$2:$D995))), 2), """")"),"")</f>
        <v/>
      </c>
      <c r="K174" s="36" t="str">
        <f>IFERROR(__xludf.DUMMYFUNCTION("IFERROR(INDEX(FILTER('棲息地'!$D$2:$D995, ISNUMBER(SEARCH($B174, '棲息地'!$D$2:$D995))), 2), """")"),"")</f>
        <v/>
      </c>
      <c r="L174" s="36" t="str">
        <f>IFERROR(__xludf.DUMMYFUNCTION("IFERROR(INDEX(FILTER('棲息地'!$D$2:$D995, ISNUMBER(SEARCH($B174, '棲息地'!$D$2:$D995))), 3), """")"),"")</f>
        <v/>
      </c>
      <c r="M174" s="36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22.5" customHeight="1">
      <c r="A175" s="33" t="s">
        <v>1619</v>
      </c>
      <c r="B175" s="34" t="s">
        <v>547</v>
      </c>
      <c r="C175" s="35" t="s">
        <v>1614</v>
      </c>
      <c r="D175" s="34" t="s">
        <v>1080</v>
      </c>
      <c r="E175" s="35" t="s">
        <v>1200</v>
      </c>
      <c r="F175" s="35" t="s">
        <v>1620</v>
      </c>
      <c r="G175" s="35" t="s">
        <v>1095</v>
      </c>
      <c r="H175" s="36" t="str">
        <f>IFERROR(__xludf.DUMMYFUNCTION("IFERROR(INDEX(FILTER('棲息地'!$B$2:$B995 &amp; "" / "" &amp; '棲息地'!$C$2:$C995, ISNUMBER(SEARCH($B175, '棲息地'!$D$2:$D995))), 1), """")"),"農活辛苦(推測) / 蔬菜田 ×4、獨輪手推車 ×1")</f>
        <v>農活辛苦(推測) / 蔬菜田 ×4、獨輪手推車 ×1</v>
      </c>
      <c r="I175" s="36" t="str">
        <f>IFERROR(__xludf.DUMMYFUNCTION("IFERROR(INDEX(FILTER('棲息地'!$D$2:$D995, ISNUMBER(SEARCH($B175, '棲息地'!$D$2:$D995))), 1), """")"),"班基拉斯")</f>
        <v>班基拉斯</v>
      </c>
      <c r="J175" s="36" t="str">
        <f>IFERROR(__xludf.DUMMYFUNCTION("IFERROR(INDEX(FILTER('棲息地'!$B$2:$B995 &amp; "" / "" &amp; '棲息地'!$C$2:$C995, ISNUMBER(SEARCH($B175, '棲息地'!$D$2:$D995))), 2), """")"),"滿滿是苔 / 青苔 ×4")</f>
        <v>滿滿是苔 / 青苔 ×4</v>
      </c>
      <c r="K175" s="36" t="str">
        <f>IFERROR(__xludf.DUMMYFUNCTION("IFERROR(INDEX(FILTER('棲息地'!$D$2:$D995, ISNUMBER(SEARCH($B175, '棲息地'!$D$2:$D995))), 2), """")"),"幼基拉斯、班基拉斯")</f>
        <v>幼基拉斯、班基拉斯</v>
      </c>
      <c r="L175" s="36" t="str">
        <f>IFERROR(__xludf.DUMMYFUNCTION("IFERROR(INDEX(FILTER('棲息地'!$D$2:$D995, ISNUMBER(SEARCH($B175, '棲息地'!$D$2:$D995))), 3), """")"),"")</f>
        <v/>
      </c>
      <c r="M175" s="36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22.5" customHeight="1">
      <c r="A176" s="33" t="s">
        <v>1621</v>
      </c>
      <c r="B176" s="34" t="s">
        <v>1622</v>
      </c>
      <c r="C176" s="35" t="s">
        <v>1103</v>
      </c>
      <c r="D176" s="34" t="s">
        <v>1080</v>
      </c>
      <c r="E176" s="35" t="s">
        <v>1103</v>
      </c>
      <c r="F176" s="35" t="s">
        <v>1623</v>
      </c>
      <c r="G176" s="35" t="s">
        <v>1129</v>
      </c>
      <c r="H176" s="36" t="str">
        <f>IFERROR(__xludf.DUMMYFUNCTION("IFERROR(INDEX(FILTER('棲息地'!$B$2:$B995 &amp; "" / "" &amp; '棲息地'!$C$2:$C995, ISNUMBER(SEARCH($B176, '棲息地'!$D$2:$D995))), 1), """")"),"濕潤的紅色草叢 / 紅草 ×4、水 ×2")</f>
        <v>濕潤的紅色草叢 / 紅草 ×4、水 ×2</v>
      </c>
      <c r="I176" s="36" t="str">
        <f>IFERROR(__xludf.DUMMYFUNCTION("IFERROR(INDEX(FILTER('棲息地'!$D$2:$D995, ISNUMBER(SEARCH($B176, '棲息地'!$D$2:$D995))), 1), """")"),"蓮葉童子、蓮帽小童")</f>
        <v>蓮葉童子、蓮帽小童</v>
      </c>
      <c r="J176" s="36" t="str">
        <f>IFERROR(__xludf.DUMMYFUNCTION("IFERROR(INDEX(FILTER('棲息地'!$B$2:$B995 &amp; "" / "" &amp; '棲息地'!$C$2:$C995, ISNUMBER(SEARCH($B176, '棲息地'!$D$2:$D995))), 2), """")"),"快樂無比的水坑 / 浮萍 ×4、水 ×2")</f>
        <v>快樂無比的水坑 / 浮萍 ×4、水 ×2</v>
      </c>
      <c r="K176" s="36" t="str">
        <f>IFERROR(__xludf.DUMMYFUNCTION("IFERROR(INDEX(FILTER('棲息地'!$D$2:$D995, ISNUMBER(SEARCH($B176, '棲息地'!$D$2:$D995))), 2), """")"),"樂天河童、蓮葉童子")</f>
        <v>樂天河童、蓮葉童子</v>
      </c>
      <c r="L176" s="36" t="str">
        <f>IFERROR(__xludf.DUMMYFUNCTION("IFERROR(INDEX(FILTER('棲息地'!$D$2:$D995, ISNUMBER(SEARCH($B176, '棲息地'!$D$2:$D995))), 3), """")"),"蓮葉童子、蓮帽小童")</f>
        <v>蓮葉童子、蓮帽小童</v>
      </c>
      <c r="M176" s="36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22.5" customHeight="1">
      <c r="A177" s="33" t="s">
        <v>1624</v>
      </c>
      <c r="B177" s="34" t="s">
        <v>1625</v>
      </c>
      <c r="C177" s="35" t="s">
        <v>1103</v>
      </c>
      <c r="D177" s="34" t="s">
        <v>1080</v>
      </c>
      <c r="E177" s="35" t="s">
        <v>1103</v>
      </c>
      <c r="F177" s="35" t="s">
        <v>1623</v>
      </c>
      <c r="G177" s="35" t="s">
        <v>1125</v>
      </c>
      <c r="H177" s="36" t="str">
        <f>IFERROR(__xludf.DUMMYFUNCTION("IFERROR(INDEX(FILTER('棲息地'!$B$2:$B995 &amp; "" / "" &amp; '棲息地'!$C$2:$C995, ISNUMBER(SEARCH($B177, '棲息地'!$D$2:$D995))), 1), """")"),"濕潤的紅色草叢 / 紅草 ×4、水 ×2")</f>
        <v>濕潤的紅色草叢 / 紅草 ×4、水 ×2</v>
      </c>
      <c r="I177" s="36" t="str">
        <f>IFERROR(__xludf.DUMMYFUNCTION("IFERROR(INDEX(FILTER('棲息地'!$D$2:$D995, ISNUMBER(SEARCH($B177, '棲息地'!$D$2:$D995))), 1), """")"),"蓮葉童子、蓮帽小童")</f>
        <v>蓮葉童子、蓮帽小童</v>
      </c>
      <c r="J177" s="36" t="str">
        <f>IFERROR(__xludf.DUMMYFUNCTION("IFERROR(INDEX(FILTER('棲息地'!$B$2:$B995 &amp; "" / "" &amp; '棲息地'!$C$2:$C995, ISNUMBER(SEARCH($B177, '棲息地'!$D$2:$D995))), 2), """")"),"溫泉釣 / 釣竿 ×1、椅子 ×1")</f>
        <v>溫泉釣 / 釣竿 ×1、椅子 ×1</v>
      </c>
      <c r="K177" s="36" t="str">
        <f>IFERROR(__xludf.DUMMYFUNCTION("IFERROR(INDEX(FILTER('棲息地'!$D$2:$D995, ISNUMBER(SEARCH($B177, '棲息地'!$D$2:$D995))), 2), """")"),"蓮葉童子、蓮帽小童")</f>
        <v>蓮葉童子、蓮帽小童</v>
      </c>
      <c r="L177" s="36" t="str">
        <f>IFERROR(__xludf.DUMMYFUNCTION("IFERROR(INDEX(FILTER('棲息地'!$D$2:$D995, ISNUMBER(SEARCH($B177, '棲息地'!$D$2:$D995))), 3), """")"),"")</f>
        <v/>
      </c>
      <c r="M177" s="36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22.5" customHeight="1">
      <c r="A178" s="33" t="s">
        <v>1626</v>
      </c>
      <c r="B178" s="34" t="s">
        <v>1627</v>
      </c>
      <c r="C178" s="35" t="s">
        <v>1448</v>
      </c>
      <c r="D178" s="34" t="s">
        <v>1080</v>
      </c>
      <c r="E178" s="35" t="s">
        <v>1103</v>
      </c>
      <c r="F178" s="35" t="s">
        <v>1628</v>
      </c>
      <c r="G178" s="35" t="s">
        <v>1129</v>
      </c>
      <c r="H178" s="36" t="str">
        <f>IFERROR(__xludf.DUMMYFUNCTION("IFERROR(INDEX(FILTER('棲息地'!$B$2:$B995 &amp; "" / "" &amp; '棲息地'!$C$2:$C995, ISNUMBER(SEARCH($B178, '棲息地'!$D$2:$D995))), 1), """")"),"快樂無比的水坑 / 浮萍 ×4、水 ×2")</f>
        <v>快樂無比的水坑 / 浮萍 ×4、水 ×2</v>
      </c>
      <c r="I178" s="36" t="str">
        <f>IFERROR(__xludf.DUMMYFUNCTION("IFERROR(INDEX(FILTER('棲息地'!$D$2:$D995, ISNUMBER(SEARCH($B178, '棲息地'!$D$2:$D995))), 1), """")"),"樂天河童、蓮葉童子")</f>
        <v>樂天河童、蓮葉童子</v>
      </c>
      <c r="J178" s="36" t="str">
        <f>IFERROR(__xludf.DUMMYFUNCTION("IFERROR(INDEX(FILTER('棲息地'!$B$2:$B995 &amp; "" / "" &amp; '棲息地'!$C$2:$C995, ISNUMBER(SEARCH($B178, '棲息地'!$D$2:$D995))), 2), """")"),"")</f>
        <v/>
      </c>
      <c r="K178" s="36" t="str">
        <f>IFERROR(__xludf.DUMMYFUNCTION("IFERROR(INDEX(FILTER('棲息地'!$D$2:$D995, ISNUMBER(SEARCH($B178, '棲息地'!$D$2:$D995))), 2), """")"),"")</f>
        <v/>
      </c>
      <c r="L178" s="36" t="str">
        <f>IFERROR(__xludf.DUMMYFUNCTION("IFERROR(INDEX(FILTER('棲息地'!$D$2:$D995, ISNUMBER(SEARCH($B178, '棲息地'!$D$2:$D995))), 3), """")"),"")</f>
        <v/>
      </c>
      <c r="M178" s="36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22.5" customHeight="1">
      <c r="A179" s="33" t="s">
        <v>1629</v>
      </c>
      <c r="B179" s="34" t="s">
        <v>1630</v>
      </c>
      <c r="C179" s="35" t="s">
        <v>1631</v>
      </c>
      <c r="D179" s="34" t="s">
        <v>1080</v>
      </c>
      <c r="E179" s="35" t="s">
        <v>1081</v>
      </c>
      <c r="F179" s="35" t="s">
        <v>1632</v>
      </c>
      <c r="G179" s="35" t="s">
        <v>1129</v>
      </c>
      <c r="H179" s="36" t="str">
        <f>IFERROR(__xludf.DUMMYFUNCTION("IFERROR(INDEX(FILTER('棲息地'!$B$2:$B995 &amp; "" / "" &amp; '棲息地'!$C$2:$C995, ISNUMBER(SEARCH($B179, '棲息地'!$D$2:$D995))), 1), """")"),"到收銀檯結帳 / 桌子 ×2")</f>
        <v>到收銀檯結帳 / 桌子 ×2</v>
      </c>
      <c r="I179" s="36" t="str">
        <f>IFERROR(__xludf.DUMMYFUNCTION("IFERROR(INDEX(FILTER('棲息地'!$D$2:$D995, ISNUMBER(SEARCH($B179, '棲息地'!$D$2:$D995))), 1), """")"),"喵喵、小福蛋、差不多娃娃、大嘴娃（空空鎮)")</f>
        <v>喵喵、小福蛋、差不多娃娃、大嘴娃（空空鎮)</v>
      </c>
      <c r="J179" s="36" t="str">
        <f>IFERROR(__xludf.DUMMYFUNCTION("IFERROR(INDEX(FILTER('棲息地'!$B$2:$B995 &amp; "" / "" &amp; '棲息地'!$C$2:$C995, ISNUMBER(SEARCH($B179, '棲息地'!$D$2:$D995))), 2), """")"),"")</f>
        <v/>
      </c>
      <c r="K179" s="36" t="str">
        <f>IFERROR(__xludf.DUMMYFUNCTION("IFERROR(INDEX(FILTER('棲息地'!$D$2:$D995, ISNUMBER(SEARCH($B179, '棲息地'!$D$2:$D995))), 2), """")"),"")</f>
        <v/>
      </c>
      <c r="L179" s="36" t="str">
        <f>IFERROR(__xludf.DUMMYFUNCTION("IFERROR(INDEX(FILTER('棲息地'!$D$2:$D995, ISNUMBER(SEARCH($B179, '棲息地'!$D$2:$D995))), 3), """")"),"")</f>
        <v/>
      </c>
      <c r="M179" s="36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22.5" customHeight="1">
      <c r="A180" s="33" t="s">
        <v>1633</v>
      </c>
      <c r="B180" s="34" t="s">
        <v>567</v>
      </c>
      <c r="C180" s="35" t="s">
        <v>2</v>
      </c>
      <c r="D180" s="34" t="s">
        <v>1080</v>
      </c>
      <c r="E180" s="35" t="s">
        <v>1093</v>
      </c>
      <c r="F180" s="35" t="s">
        <v>1634</v>
      </c>
      <c r="G180" s="35" t="s">
        <v>1129</v>
      </c>
      <c r="H180" s="36" t="str">
        <f>IFERROR(__xludf.DUMMYFUNCTION("IFERROR(INDEX(FILTER('棲息地'!$B$2:$B995 &amp; "" / "" &amp; '棲息地'!$C$2:$C995, ISNUMBER(SEARCH($B180, '棲息地'!$D$2:$D995))), 1), """")"),"生苔的溫泉 / 青苔 ×4、溫泉 ×2")</f>
        <v>生苔的溫泉 / 青苔 ×4、溫泉 ×2</v>
      </c>
      <c r="I180" s="36" t="str">
        <f>IFERROR(__xludf.DUMMYFUNCTION("IFERROR(INDEX(FILTER('棲息地'!$D$2:$D995, ISNUMBER(SEARCH($B180, '棲息地'!$D$2:$D995))), 1), """")"),"煤炭龜")</f>
        <v>煤炭龜</v>
      </c>
      <c r="J180" s="36" t="str">
        <f>IFERROR(__xludf.DUMMYFUNCTION("IFERROR(INDEX(FILTER('棲息地'!$B$2:$B995 &amp; "" / "" &amp; '棲息地'!$C$2:$C995, ISNUMBER(SEARCH($B180, '棲息地'!$D$2:$D995))), 2), """")"),"")</f>
        <v/>
      </c>
      <c r="K180" s="36" t="str">
        <f>IFERROR(__xludf.DUMMYFUNCTION("IFERROR(INDEX(FILTER('棲息地'!$D$2:$D995, ISNUMBER(SEARCH($B180, '棲息地'!$D$2:$D995))), 2), """")"),"")</f>
        <v/>
      </c>
      <c r="L180" s="36" t="str">
        <f>IFERROR(__xludf.DUMMYFUNCTION("IFERROR(INDEX(FILTER('棲息地'!$D$2:$D995, ISNUMBER(SEARCH($B180, '棲息地'!$D$2:$D995))), 3), """")"),"")</f>
        <v/>
      </c>
      <c r="M180" s="36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22.5" customHeight="1">
      <c r="A181" s="33" t="s">
        <v>1635</v>
      </c>
      <c r="B181" s="34" t="s">
        <v>1636</v>
      </c>
      <c r="C181" s="35" t="s">
        <v>1247</v>
      </c>
      <c r="D181" s="34" t="s">
        <v>1080</v>
      </c>
      <c r="E181" s="35" t="s">
        <v>1200</v>
      </c>
      <c r="F181" s="35" t="s">
        <v>1637</v>
      </c>
      <c r="G181" s="35" t="s">
        <v>1125</v>
      </c>
      <c r="H181" s="36" t="str">
        <f>IFERROR(__xludf.DUMMYFUNCTION("IFERROR(INDEX(FILTER('棲息地'!$B$2:$B995 &amp; "" / "" &amp; '棲息地'!$C$2:$C995, ISNUMBER(SEARCH($B181, '棲息地'!$D$2:$D995))), 1), """")"),"紅色的草叢 / 紅草 ×4")</f>
        <v>紅色的草叢 / 紅草 ×4</v>
      </c>
      <c r="I181" s="36" t="str">
        <f>IFERROR(__xludf.DUMMYFUNCTION("IFERROR(INDEX(FILTER('棲息地'!$D$2:$D995, ISNUMBER(SEARCH($B181, '棲息地'!$D$2:$D995))), 1), """")"),"炎兔兒、利歐路、圓法師、閃焰王牌")</f>
        <v>炎兔兒、利歐路、圓法師、閃焰王牌</v>
      </c>
      <c r="J181" s="36" t="str">
        <f>IFERROR(__xludf.DUMMYFUNCTION("IFERROR(INDEX(FILTER('棲息地'!$B$2:$B995 &amp; "" / "" &amp; '棲息地'!$C$2:$C995, ISNUMBER(SEARCH($B181, '棲息地'!$D$2:$D995))), 2), """")"),"音樂和閱讀 / 雜誌架 ×1")</f>
        <v>音樂和閱讀 / 雜誌架 ×1</v>
      </c>
      <c r="K181" s="36" t="str">
        <f>IFERROR(__xludf.DUMMYFUNCTION("IFERROR(INDEX(FILTER('棲息地'!$D$2:$D995, ISNUMBER(SEARCH($B181, '棲息地'!$D$2:$D995))), 2), """")"),"圓法師、音箱蟀、音響洛托姆")</f>
        <v>圓法師、音箱蟀、音響洛托姆</v>
      </c>
      <c r="L181" s="36" t="str">
        <f>IFERROR(__xludf.DUMMYFUNCTION("IFERROR(INDEX(FILTER('棲息地'!$D$2:$D995, ISNUMBER(SEARCH($B181, '棲息地'!$D$2:$D995))), 3), """")"),"")</f>
        <v/>
      </c>
      <c r="M181" s="36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22.5" customHeight="1">
      <c r="A182" s="33" t="s">
        <v>1638</v>
      </c>
      <c r="B182" s="34" t="s">
        <v>1639</v>
      </c>
      <c r="C182" s="35" t="s">
        <v>1247</v>
      </c>
      <c r="D182" s="34" t="s">
        <v>1080</v>
      </c>
      <c r="E182" s="35" t="s">
        <v>1200</v>
      </c>
      <c r="F182" s="35" t="s">
        <v>1637</v>
      </c>
      <c r="G182" s="35" t="s">
        <v>1095</v>
      </c>
      <c r="H182" s="36" t="str">
        <f>IFERROR(__xludf.DUMMYFUNCTION("IFERROR(INDEX(FILTER('棲息地'!$B$2:$B995 &amp; "" / "" &amp; '棲息地'!$C$2:$C995, ISNUMBER(SEARCH($B182, '棲息地'!$D$2:$D995))), 1), """")"),"音樂和閱讀 / 雜誌架 ×1")</f>
        <v>音樂和閱讀 / 雜誌架 ×1</v>
      </c>
      <c r="I182" s="36" t="str">
        <f>IFERROR(__xludf.DUMMYFUNCTION("IFERROR(INDEX(FILTER('棲息地'!$D$2:$D995, ISNUMBER(SEARCH($B182, '棲息地'!$D$2:$D995))), 1), """")"),"圓法師、音箱蟀、音響洛托姆")</f>
        <v>圓法師、音箱蟀、音響洛托姆</v>
      </c>
      <c r="J182" s="36" t="str">
        <f>IFERROR(__xludf.DUMMYFUNCTION("IFERROR(INDEX(FILTER('棲息地'!$B$2:$B995 &amp; "" / "" &amp; '棲息地'!$C$2:$C995, ISNUMBER(SEARCH($B182, '棲息地'!$D$2:$D995))), 2), """")"),"")</f>
        <v/>
      </c>
      <c r="K182" s="36" t="str">
        <f>IFERROR(__xludf.DUMMYFUNCTION("IFERROR(INDEX(FILTER('棲息地'!$D$2:$D995, ISNUMBER(SEARCH($B182, '棲息地'!$D$2:$D995))), 2), """")"),"")</f>
        <v/>
      </c>
      <c r="L182" s="36" t="str">
        <f>IFERROR(__xludf.DUMMYFUNCTION("IFERROR(INDEX(FILTER('棲息地'!$D$2:$D995, ISNUMBER(SEARCH($B182, '棲息地'!$D$2:$D995))), 3), """")"),"")</f>
        <v/>
      </c>
      <c r="M182" s="36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22.5" customHeight="1">
      <c r="A183" s="33" t="s">
        <v>1640</v>
      </c>
      <c r="B183" s="34" t="s">
        <v>1641</v>
      </c>
      <c r="C183" s="35" t="s">
        <v>1642</v>
      </c>
      <c r="D183" s="34" t="s">
        <v>1080</v>
      </c>
      <c r="E183" s="35" t="s">
        <v>1093</v>
      </c>
      <c r="F183" s="35" t="s">
        <v>1643</v>
      </c>
      <c r="G183" s="35" t="s">
        <v>1083</v>
      </c>
      <c r="H183" s="36" t="str">
        <f>IFERROR(__xludf.DUMMYFUNCTION("IFERROR(INDEX(FILTER('棲息地'!$B$2:$B995 &amp; "" / "" &amp; '棲息地'!$C$2:$C995, ISNUMBER(SEARCH($B183, '棲息地'!$D$2:$D995))), 1), """")"),"高崗的紅色草叢 / 紅草 ×4、高處 ×1")</f>
        <v>高崗的紅色草叢 / 紅草 ×4、高處 ×1</v>
      </c>
      <c r="I183" s="36" t="str">
        <f>IFERROR(__xludf.DUMMYFUNCTION("IFERROR(INDEX(FILTER('棲息地'!$D$2:$D995, ISNUMBER(SEARCH($B183, '棲息地'!$D$2:$D995))), 1), """")"),"聒噪鳥、黑暗鴉、烏鴉頭頭")</f>
        <v>聒噪鳥、黑暗鴉、烏鴉頭頭</v>
      </c>
      <c r="J183" s="36" t="str">
        <f>IFERROR(__xludf.DUMMYFUNCTION("IFERROR(INDEX(FILTER('棲息地'!$B$2:$B995 &amp; "" / "" &amp; '棲息地'!$C$2:$C995, ISNUMBER(SEARCH($B183, '棲息地'!$D$2:$D995))), 2), """")"),"啁啁啾啾演唱會 / 棲木 ×1、直立式麥克風 ×1")</f>
        <v>啁啁啾啾演唱會 / 棲木 ×1、直立式麥克風 ×1</v>
      </c>
      <c r="K183" s="36" t="str">
        <f>IFERROR(__xludf.DUMMYFUNCTION("IFERROR(INDEX(FILTER('棲息地'!$D$2:$D995, ISNUMBER(SEARCH($B183, '棲息地'!$D$2:$D995))), 2), """")"),"聒噪鳥、烏鴉頭頭")</f>
        <v>聒噪鳥、烏鴉頭頭</v>
      </c>
      <c r="L183" s="36" t="str">
        <f>IFERROR(__xludf.DUMMYFUNCTION("IFERROR(INDEX(FILTER('棲息地'!$D$2:$D995, ISNUMBER(SEARCH($B183, '棲息地'!$D$2:$D995))), 3), """")"),"")</f>
        <v/>
      </c>
      <c r="M183" s="36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22.5" customHeight="1">
      <c r="A184" s="33" t="s">
        <v>1644</v>
      </c>
      <c r="B184" s="34" t="s">
        <v>1645</v>
      </c>
      <c r="C184" s="35" t="s">
        <v>1186</v>
      </c>
      <c r="D184" s="34" t="s">
        <v>1080</v>
      </c>
      <c r="E184" s="35" t="s">
        <v>1200</v>
      </c>
      <c r="F184" s="35" t="s">
        <v>1646</v>
      </c>
      <c r="G184" s="35" t="s">
        <v>1095</v>
      </c>
      <c r="H184" s="36" t="str">
        <f>IFERROR(__xludf.DUMMYFUNCTION("IFERROR(INDEX(FILTER('棲息地'!$B$2:$B995 &amp; "" / "" &amp; '棲息地'!$C$2:$C995, ISNUMBER(SEARCH($B184, '棲息地'!$D$2:$D995))), 1), """")"),"紅色的草叢 / 紅草 ×4")</f>
        <v>紅色的草叢 / 紅草 ×4</v>
      </c>
      <c r="I184" s="36" t="str">
        <f>IFERROR(__xludf.DUMMYFUNCTION("IFERROR(INDEX(FILTER('棲息地'!$D$2:$D995, ISNUMBER(SEARCH($B184, '棲息地'!$D$2:$D995))), 1), """")"),"炎兔兒、利歐路、圓法師、閃焰王牌")</f>
        <v>炎兔兒、利歐路、圓法師、閃焰王牌</v>
      </c>
      <c r="J184" s="36" t="str">
        <f>IFERROR(__xludf.DUMMYFUNCTION("IFERROR(INDEX(FILTER('棲息地'!$B$2:$B995 &amp; "" / "" &amp; '棲息地'!$C$2:$C995, ISNUMBER(SEARCH($B184, '棲息地'!$D$2:$D995))), 2), """")"),"跟著節奏一二跳 / 沙包 ×1、桌子 ×1、CD播放器 ×1")</f>
        <v>跟著節奏一二跳 / 沙包 ×1、桌子 ×1、CD播放器 ×1</v>
      </c>
      <c r="K184" s="36" t="str">
        <f>IFERROR(__xludf.DUMMYFUNCTION("IFERROR(INDEX(FILTER('棲息地'!$D$2:$D995, ISNUMBER(SEARCH($B184, '棲息地'!$D$2:$D995))), 2), """")"),"豪力、利歐路、路卡利歐")</f>
        <v>豪力、利歐路、路卡利歐</v>
      </c>
      <c r="L184" s="36" t="str">
        <f>IFERROR(__xludf.DUMMYFUNCTION("IFERROR(INDEX(FILTER('棲息地'!$D$2:$D995, ISNUMBER(SEARCH($B184, '棲息地'!$D$2:$D995))), 3), """")"),"")</f>
        <v/>
      </c>
      <c r="M184" s="36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22.5" customHeight="1">
      <c r="A185" s="33" t="s">
        <v>1647</v>
      </c>
      <c r="B185" s="34" t="s">
        <v>1648</v>
      </c>
      <c r="C185" s="35" t="s">
        <v>1186</v>
      </c>
      <c r="D185" s="34" t="s">
        <v>1080</v>
      </c>
      <c r="E185" s="35" t="s">
        <v>1200</v>
      </c>
      <c r="F185" s="35" t="s">
        <v>1649</v>
      </c>
      <c r="G185" s="35" t="s">
        <v>1129</v>
      </c>
      <c r="H185" s="36" t="str">
        <f>IFERROR(__xludf.DUMMYFUNCTION("IFERROR(INDEX(FILTER('棲息地'!$B$2:$B995 &amp; "" / "" &amp; '棲息地'!$C$2:$C995, ISNUMBER(SEARCH($B185, '棲息地'!$D$2:$D995))), 1), """")"),"跟著節奏一二跳 / 沙包 ×1、桌子 ×1、CD播放器 ×1")</f>
        <v>跟著節奏一二跳 / 沙包 ×1、桌子 ×1、CD播放器 ×1</v>
      </c>
      <c r="I185" s="36" t="str">
        <f>IFERROR(__xludf.DUMMYFUNCTION("IFERROR(INDEX(FILTER('棲息地'!$D$2:$D995, ISNUMBER(SEARCH($B185, '棲息地'!$D$2:$D995))), 1), """")"),"豪力、利歐路、路卡利歐")</f>
        <v>豪力、利歐路、路卡利歐</v>
      </c>
      <c r="J185" s="36" t="str">
        <f>IFERROR(__xludf.DUMMYFUNCTION("IFERROR(INDEX(FILTER('棲息地'!$B$2:$B995 &amp; "" / "" &amp; '棲息地'!$C$2:$C995, ISNUMBER(SEARCH($B185, '棲息地'!$D$2:$D995))), 2), """")"),"")</f>
        <v/>
      </c>
      <c r="K185" s="36" t="str">
        <f>IFERROR(__xludf.DUMMYFUNCTION("IFERROR(INDEX(FILTER('棲息地'!$D$2:$D995, ISNUMBER(SEARCH($B185, '棲息地'!$D$2:$D995))), 2), """")"),"")</f>
        <v/>
      </c>
      <c r="L185" s="36" t="str">
        <f>IFERROR(__xludf.DUMMYFUNCTION("IFERROR(INDEX(FILTER('棲息地'!$D$2:$D995, ISNUMBER(SEARCH($B185, '棲息地'!$D$2:$D995))), 3), """")"),"")</f>
        <v/>
      </c>
      <c r="M185" s="36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22.5" customHeight="1">
      <c r="A186" s="33" t="s">
        <v>1650</v>
      </c>
      <c r="B186" s="34" t="s">
        <v>1651</v>
      </c>
      <c r="C186" s="35" t="s">
        <v>1652</v>
      </c>
      <c r="D186" s="34" t="s">
        <v>1080</v>
      </c>
      <c r="E186" s="35" t="s">
        <v>1081</v>
      </c>
      <c r="F186" s="35" t="s">
        <v>1653</v>
      </c>
      <c r="G186" s="35" t="s">
        <v>1125</v>
      </c>
      <c r="H186" s="36" t="str">
        <f>IFERROR(__xludf.DUMMYFUNCTION("IFERROR(INDEX(FILTER('棲息地'!$B$2:$B995 &amp; "" / "" &amp; '棲息地'!$C$2:$C995, ISNUMBER(SEARCH($B186, '棲息地'!$D$2:$D995))), 1), """")"),"音樂和閱讀 / 雜誌架 ×1")</f>
        <v>音樂和閱讀 / 雜誌架 ×1</v>
      </c>
      <c r="I186" s="36" t="str">
        <f>IFERROR(__xludf.DUMMYFUNCTION("IFERROR(INDEX(FILTER('棲息地'!$D$2:$D995, ISNUMBER(SEARCH($B186, '棲息地'!$D$2:$D995))), 1), """")"),"圓法師、音箱蟀、音響洛托姆")</f>
        <v>圓法師、音箱蟀、音響洛托姆</v>
      </c>
      <c r="J186" s="36" t="str">
        <f>IFERROR(__xludf.DUMMYFUNCTION("IFERROR(INDEX(FILTER('棲息地'!$B$2:$B995 &amp; "" / "" &amp; '棲息地'!$C$2:$C995, ISNUMBER(SEARCH($B186, '棲息地'!$D$2:$D995))), 2), """")"),"")</f>
        <v/>
      </c>
      <c r="K186" s="36" t="str">
        <f>IFERROR(__xludf.DUMMYFUNCTION("IFERROR(INDEX(FILTER('棲息地'!$D$2:$D995, ISNUMBER(SEARCH($B186, '棲息地'!$D$2:$D995))), 2), """")"),"")</f>
        <v/>
      </c>
      <c r="L186" s="36" t="str">
        <f>IFERROR(__xludf.DUMMYFUNCTION("IFERROR(INDEX(FILTER('棲息地'!$D$2:$D995, ISNUMBER(SEARCH($B186, '棲息地'!$D$2:$D995))), 3), """")"),"")</f>
        <v/>
      </c>
      <c r="M186" s="36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22.5" customHeight="1">
      <c r="A187" s="33" t="s">
        <v>1654</v>
      </c>
      <c r="B187" s="34" t="s">
        <v>1655</v>
      </c>
      <c r="C187" s="35" t="s">
        <v>1656</v>
      </c>
      <c r="D187" s="35" t="s">
        <v>1432</v>
      </c>
      <c r="E187" s="35" t="s">
        <v>1180</v>
      </c>
      <c r="F187" s="35" t="s">
        <v>1657</v>
      </c>
      <c r="G187" s="35" t="s">
        <v>1125</v>
      </c>
      <c r="H187" s="36" t="str">
        <f>IFERROR(__xludf.DUMMYFUNCTION("IFERROR(INDEX(FILTER('棲息地'!$B$2:$B995 &amp; "" / "" &amp; '棲息地'!$C$2:$C995, ISNUMBER(SEARCH($B187, '棲息地'!$D$2:$D995))), 1), """")"),"樹蔭的優雅花田 / 岩場之花 ×4")</f>
        <v>樹蔭的優雅花田 / 岩場之花 ×4</v>
      </c>
      <c r="I187" s="36" t="str">
        <f>IFERROR(__xludf.DUMMYFUNCTION("IFERROR(INDEX(FILTER('棲息地'!$D$2:$D995, ISNUMBER(SEARCH($B187, '棲息地'!$D$2:$D995))), 1), """")"),"黑暗鴉、燃燒蟲、火神蛾")</f>
        <v>黑暗鴉、燃燒蟲、火神蛾</v>
      </c>
      <c r="J187" s="36" t="str">
        <f>IFERROR(__xludf.DUMMYFUNCTION("IFERROR(INDEX(FILTER('棲息地'!$B$2:$B995 &amp; "" / "" &amp; '棲息地'!$C$2:$C995, ISNUMBER(SEARCH($B187, '棲息地'!$D$2:$D995))), 2), """")"),"")</f>
        <v/>
      </c>
      <c r="K187" s="36" t="str">
        <f>IFERROR(__xludf.DUMMYFUNCTION("IFERROR(INDEX(FILTER('棲息地'!$D$2:$D995, ISNUMBER(SEARCH($B187, '棲息地'!$D$2:$D995))), 2), """")"),"")</f>
        <v/>
      </c>
      <c r="L187" s="36" t="str">
        <f>IFERROR(__xludf.DUMMYFUNCTION("IFERROR(INDEX(FILTER('棲息地'!$D$2:$D995, ISNUMBER(SEARCH($B187, '棲息地'!$D$2:$D995))), 3), """")"),"")</f>
        <v/>
      </c>
      <c r="M187" s="36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22.5" customHeight="1">
      <c r="A188" s="33" t="s">
        <v>1658</v>
      </c>
      <c r="B188" s="34" t="s">
        <v>1659</v>
      </c>
      <c r="C188" s="35" t="s">
        <v>1656</v>
      </c>
      <c r="D188" s="35" t="s">
        <v>1432</v>
      </c>
      <c r="E188" s="35" t="s">
        <v>1180</v>
      </c>
      <c r="F188" s="35" t="s">
        <v>1660</v>
      </c>
      <c r="G188" s="35" t="s">
        <v>1129</v>
      </c>
      <c r="H188" s="36" t="str">
        <f>IFERROR(__xludf.DUMMYFUNCTION("IFERROR(INDEX(FILTER('棲息地'!$B$2:$B995 &amp; "" / "" &amp; '棲息地'!$C$2:$C995, ISNUMBER(SEARCH($B188, '棲息地'!$D$2:$D995))), 1), """")"),"樹蔭的優雅花田 / 岩場之花 ×4")</f>
        <v>樹蔭的優雅花田 / 岩場之花 ×4</v>
      </c>
      <c r="I188" s="36" t="str">
        <f>IFERROR(__xludf.DUMMYFUNCTION("IFERROR(INDEX(FILTER('棲息地'!$D$2:$D995, ISNUMBER(SEARCH($B188, '棲息地'!$D$2:$D995))), 1), """")"),"黑暗鴉、燃燒蟲、火神蛾")</f>
        <v>黑暗鴉、燃燒蟲、火神蛾</v>
      </c>
      <c r="J188" s="36" t="str">
        <f>IFERROR(__xludf.DUMMYFUNCTION("IFERROR(INDEX(FILTER('棲息地'!$B$2:$B995 &amp; "" / "" &amp; '棲息地'!$C$2:$C995, ISNUMBER(SEARCH($B188, '棲息地'!$D$2:$D995))), 2), """")"),"熔岩熔岩熱呼呼 / 滾燙岩石 ×1、岩漿 ×2")</f>
        <v>熔岩熔岩熱呼呼 / 滾燙岩石 ×1、岩漿 ×2</v>
      </c>
      <c r="K188" s="36" t="str">
        <f>IFERROR(__xludf.DUMMYFUNCTION("IFERROR(INDEX(FILTER('棲息地'!$D$2:$D995, ISNUMBER(SEARCH($B188, '棲息地'!$D$2:$D995))), 2), """")"),"炭小侍、火神蛾")</f>
        <v>炭小侍、火神蛾</v>
      </c>
      <c r="L188" s="36" t="str">
        <f>IFERROR(__xludf.DUMMYFUNCTION("IFERROR(INDEX(FILTER('棲息地'!$D$2:$D995, ISNUMBER(SEARCH($B188, '棲息地'!$D$2:$D995))), 3), """")"),"")</f>
        <v/>
      </c>
      <c r="M188" s="36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22.5" customHeight="1">
      <c r="A189" s="33" t="s">
        <v>1661</v>
      </c>
      <c r="B189" s="34" t="s">
        <v>1662</v>
      </c>
      <c r="C189" s="35" t="s">
        <v>1079</v>
      </c>
      <c r="D189" s="34" t="s">
        <v>1080</v>
      </c>
      <c r="E189" s="35" t="s">
        <v>1200</v>
      </c>
      <c r="F189" s="35" t="s">
        <v>1663</v>
      </c>
      <c r="G189" s="35" t="s">
        <v>1129</v>
      </c>
      <c r="H189" s="36" t="str">
        <f>IFERROR(__xludf.DUMMYFUNCTION("IFERROR(INDEX(FILTER('棲息地'!$B$2:$B995 &amp; "" / "" &amp; '棲息地'!$C$2:$C995, ISNUMBER(SEARCH($B189, '棲息地'!$D$2:$D995))), 1), """")"),"新鮮蔬菜田 / 蔬菜田(任意) ×8")</f>
        <v>新鮮蔬菜田 / 蔬菜田(任意) ×8</v>
      </c>
      <c r="I189" s="36" t="str">
        <f>IFERROR(__xludf.DUMMYFUNCTION("IFERROR(INDEX(FILTER('棲息地'!$D$2:$D995, ISNUMBER(SEARCH($B189, '棲息地'!$D$2:$D995))), 1), """")"),"螺釘地鼠、龍頭地鼠、木木梟（空空鎮)")</f>
        <v>螺釘地鼠、龍頭地鼠、木木梟（空空鎮)</v>
      </c>
      <c r="J189" s="36" t="str">
        <f>IFERROR(__xludf.DUMMYFUNCTION("IFERROR(INDEX(FILTER('棲息地'!$B$2:$B995 &amp; "" / "" &amp; '棲息地'!$C$2:$C995, ISNUMBER(SEARCH($B189, '棲息地'!$D$2:$D995))), 2), """")"),"")</f>
        <v/>
      </c>
      <c r="K189" s="36" t="str">
        <f>IFERROR(__xludf.DUMMYFUNCTION("IFERROR(INDEX(FILTER('棲息地'!$D$2:$D995, ISNUMBER(SEARCH($B189, '棲息地'!$D$2:$D995))), 2), """")"),"")</f>
        <v/>
      </c>
      <c r="L189" s="36" t="str">
        <f>IFERROR(__xludf.DUMMYFUNCTION("IFERROR(INDEX(FILTER('棲息地'!$D$2:$D995, ISNUMBER(SEARCH($B189, '棲息地'!$D$2:$D995))), 3), """")"),"")</f>
        <v/>
      </c>
      <c r="M189" s="36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22.5" customHeight="1">
      <c r="A190" s="33" t="s">
        <v>1664</v>
      </c>
      <c r="B190" s="34" t="s">
        <v>1665</v>
      </c>
      <c r="C190" s="35" t="s">
        <v>1157</v>
      </c>
      <c r="D190" s="34" t="s">
        <v>1080</v>
      </c>
      <c r="E190" s="35" t="s">
        <v>1200</v>
      </c>
      <c r="F190" s="35" t="s">
        <v>1666</v>
      </c>
      <c r="G190" s="35" t="s">
        <v>1087</v>
      </c>
      <c r="H190" s="36" t="str">
        <f>IFERROR(__xludf.DUMMYFUNCTION("IFERROR(INDEX(FILTER('棲息地'!$B$2:$B995 &amp; "" / "" &amp; '棲息地'!$C$2:$C995, ISNUMBER(SEARCH($B190, '棲息地'!$D$2:$D995))), 1), """")"),"三角樹蔭下的岩石與草叢 / 三角樹 ×1、紅草 ×4、大石頭 ×1")</f>
        <v>三角樹蔭下的岩石與草叢 / 三角樹 ×1、紅草 ×4、大石頭 ×1</v>
      </c>
      <c r="I190" s="36" t="str">
        <f>IFERROR(__xludf.DUMMYFUNCTION("IFERROR(INDEX(FILTER('棲息地'!$D$2:$D995, ISNUMBER(SEARCH($B190, '棲息地'!$D$2:$D995))), 1), """")"),"投羽梟、狙射樹梟")</f>
        <v>投羽梟、狙射樹梟</v>
      </c>
      <c r="J190" s="36" t="str">
        <f>IFERROR(__xludf.DUMMYFUNCTION("IFERROR(INDEX(FILTER('棲息地'!$B$2:$B995 &amp; "" / "" &amp; '棲息地'!$C$2:$C995, ISNUMBER(SEARCH($B190, '棲息地'!$D$2:$D995))), 2), """")"),"")</f>
        <v/>
      </c>
      <c r="K190" s="36" t="str">
        <f>IFERROR(__xludf.DUMMYFUNCTION("IFERROR(INDEX(FILTER('棲息地'!$D$2:$D995, ISNUMBER(SEARCH($B190, '棲息地'!$D$2:$D995))), 2), """")"),"")</f>
        <v/>
      </c>
      <c r="L190" s="36" t="str">
        <f>IFERROR(__xludf.DUMMYFUNCTION("IFERROR(INDEX(FILTER('棲息地'!$D$2:$D995, ISNUMBER(SEARCH($B190, '棲息地'!$D$2:$D995))), 3), """")"),"")</f>
        <v/>
      </c>
      <c r="M190" s="36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22.5" customHeight="1">
      <c r="A191" s="33" t="s">
        <v>1667</v>
      </c>
      <c r="B191" s="34" t="s">
        <v>1668</v>
      </c>
      <c r="C191" s="35" t="s">
        <v>1157</v>
      </c>
      <c r="D191" s="34" t="s">
        <v>1080</v>
      </c>
      <c r="E191" s="35" t="s">
        <v>1200</v>
      </c>
      <c r="F191" s="35" t="s">
        <v>1669</v>
      </c>
      <c r="G191" s="35" t="s">
        <v>1129</v>
      </c>
      <c r="H191" s="36" t="str">
        <f>IFERROR(__xludf.DUMMYFUNCTION("IFERROR(INDEX(FILTER('棲息地'!$B$2:$B995 &amp; "" / "" &amp; '棲息地'!$C$2:$C995, ISNUMBER(SEARCH($B191, '棲息地'!$D$2:$D995))), 1), """")"),"三角樹蔭下的岩石與草叢 / 三角樹 ×1、紅草 ×4、大石頭 ×1")</f>
        <v>三角樹蔭下的岩石與草叢 / 三角樹 ×1、紅草 ×4、大石頭 ×1</v>
      </c>
      <c r="I191" s="36" t="str">
        <f>IFERROR(__xludf.DUMMYFUNCTION("IFERROR(INDEX(FILTER('棲息地'!$D$2:$D995, ISNUMBER(SEARCH($B191, '棲息地'!$D$2:$D995))), 1), """")"),"投羽梟、狙射樹梟")</f>
        <v>投羽梟、狙射樹梟</v>
      </c>
      <c r="J191" s="36" t="str">
        <f>IFERROR(__xludf.DUMMYFUNCTION("IFERROR(INDEX(FILTER('棲息地'!$B$2:$B995 &amp; "" / "" &amp; '棲息地'!$C$2:$C995, ISNUMBER(SEARCH($B191, '棲息地'!$D$2:$D995))), 2), """")"),"現代生活 / 工業風床鋪/桌子/椅子 各1")</f>
        <v>現代生活 / 工業風床鋪/桌子/椅子 各1</v>
      </c>
      <c r="K191" s="36" t="str">
        <f>IFERROR(__xludf.DUMMYFUNCTION("IFERROR(INDEX(FILTER('棲息地'!$D$2:$D995, ISNUMBER(SEARCH($B191, '棲息地'!$D$2:$D995))), 2), """")"),"狙射樹梟（★★）")</f>
        <v>狙射樹梟（★★）</v>
      </c>
      <c r="L191" s="36" t="str">
        <f>IFERROR(__xludf.DUMMYFUNCTION("IFERROR(INDEX(FILTER('棲息地'!$D$2:$D995, ISNUMBER(SEARCH($B191, '棲息地'!$D$2:$D995))), 3), """")"),"")</f>
        <v/>
      </c>
      <c r="M191" s="36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22.5" customHeight="1">
      <c r="A192" s="33" t="s">
        <v>1670</v>
      </c>
      <c r="B192" s="34" t="s">
        <v>1671</v>
      </c>
      <c r="C192" s="35" t="s">
        <v>2</v>
      </c>
      <c r="D192" s="34" t="s">
        <v>1080</v>
      </c>
      <c r="E192" s="35" t="s">
        <v>1093</v>
      </c>
      <c r="F192" s="35" t="s">
        <v>1672</v>
      </c>
      <c r="G192" s="35" t="s">
        <v>1129</v>
      </c>
      <c r="H192" s="36" t="str">
        <f>IFERROR(__xludf.DUMMYFUNCTION("IFERROR(INDEX(FILTER('棲息地'!$B$2:$B995 &amp; "" / "" &amp; '棲息地'!$C$2:$C995, ISNUMBER(SEARCH($B192, '棲息地'!$D$2:$D995))), 1), """")"),"紅色的草叢 / 紅草 ×4")</f>
        <v>紅色的草叢 / 紅草 ×4</v>
      </c>
      <c r="I192" s="36" t="str">
        <f>IFERROR(__xludf.DUMMYFUNCTION("IFERROR(INDEX(FILTER('棲息地'!$D$2:$D995, ISNUMBER(SEARCH($B192, '棲息地'!$D$2:$D995))), 1), """")"),"炎兔兒、利歐路、圓法師、閃焰王牌")</f>
        <v>炎兔兒、利歐路、圓法師、閃焰王牌</v>
      </c>
      <c r="J192" s="36" t="str">
        <f>IFERROR(__xludf.DUMMYFUNCTION("IFERROR(INDEX(FILTER('棲息地'!$B$2:$B995 &amp; "" / "" &amp; '棲息地'!$C$2:$C995, ISNUMBER(SEARCH($B192, '棲息地'!$D$2:$D995))), 2), """")"),"")</f>
        <v/>
      </c>
      <c r="K192" s="36" t="str">
        <f>IFERROR(__xludf.DUMMYFUNCTION("IFERROR(INDEX(FILTER('棲息地'!$D$2:$D995, ISNUMBER(SEARCH($B192, '棲息地'!$D$2:$D995))), 2), """")"),"")</f>
        <v/>
      </c>
      <c r="L192" s="36" t="str">
        <f>IFERROR(__xludf.DUMMYFUNCTION("IFERROR(INDEX(FILTER('棲息地'!$D$2:$D995, ISNUMBER(SEARCH($B192, '棲息地'!$D$2:$D995))), 3), """")"),"")</f>
        <v/>
      </c>
      <c r="M192" s="36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22.5" customHeight="1">
      <c r="A193" s="33" t="s">
        <v>1673</v>
      </c>
      <c r="B193" s="34" t="s">
        <v>572</v>
      </c>
      <c r="C193" s="35" t="s">
        <v>2</v>
      </c>
      <c r="D193" s="34" t="s">
        <v>1080</v>
      </c>
      <c r="E193" s="35" t="s">
        <v>1093</v>
      </c>
      <c r="F193" s="35" t="s">
        <v>1674</v>
      </c>
      <c r="G193" s="35" t="s">
        <v>1129</v>
      </c>
      <c r="H193" s="36" t="str">
        <f>IFERROR(__xludf.DUMMYFUNCTION("IFERROR(INDEX(FILTER('棲息地'!$B$2:$B995 &amp; "" / "" &amp; '棲息地'!$C$2:$C995, ISNUMBER(SEARCH($B193, '棲息地'!$D$2:$D995))), 1), """")"),"露天溫泉 / (溫泉組)")</f>
        <v>露天溫泉 / (溫泉組)</v>
      </c>
      <c r="I193" s="36" t="str">
        <f>IFERROR(__xludf.DUMMYFUNCTION("IFERROR(INDEX(FILTER('棲息地'!$D$2:$D995, ISNUMBER(SEARCH($B193, '棲息地'!$D$2:$D995))), 1), """")"),"騰蹴小將")</f>
        <v>騰蹴小將</v>
      </c>
      <c r="J193" s="36" t="str">
        <f>IFERROR(__xludf.DUMMYFUNCTION("IFERROR(INDEX(FILTER('棲息地'!$B$2:$B995 &amp; "" / "" &amp; '棲息地'!$C$2:$C995, ISNUMBER(SEARCH($B193, '棲息地'!$D$2:$D995))), 2), """")"),"清爽的更衣室 / 椅子(長條) ×1")</f>
        <v>清爽的更衣室 / 椅子(長條) ×1</v>
      </c>
      <c r="K193" s="36" t="str">
        <f>IFERROR(__xludf.DUMMYFUNCTION("IFERROR(INDEX(FILTER('棲息地'!$D$2:$D995, ISNUMBER(SEARCH($B193, '棲息地'!$D$2:$D995))), 2), """")"),"騰蹴小將")</f>
        <v>騰蹴小將</v>
      </c>
      <c r="L193" s="36" t="str">
        <f>IFERROR(__xludf.DUMMYFUNCTION("IFERROR(INDEX(FILTER('棲息地'!$D$2:$D995, ISNUMBER(SEARCH($B193, '棲息地'!$D$2:$D995))), 3), """")"),"")</f>
        <v/>
      </c>
      <c r="M193" s="36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22.5" customHeight="1">
      <c r="A194" s="33" t="s">
        <v>1675</v>
      </c>
      <c r="B194" s="34" t="s">
        <v>1676</v>
      </c>
      <c r="C194" s="35" t="s">
        <v>1677</v>
      </c>
      <c r="D194" s="34" t="s">
        <v>1080</v>
      </c>
      <c r="E194" s="35" t="s">
        <v>1093</v>
      </c>
      <c r="F194" s="35" t="s">
        <v>1678</v>
      </c>
      <c r="G194" s="35" t="s">
        <v>1095</v>
      </c>
      <c r="H194" s="36" t="str">
        <f>IFERROR(__xludf.DUMMYFUNCTION("IFERROR(INDEX(FILTER('棲息地'!$B$2:$B995 &amp; "" / "" &amp; '棲息地'!$C$2:$C995, ISNUMBER(SEARCH($B194, '棲息地'!$D$2:$D995))), 1), """")"),"紅色的草叢 / 紅草 ×4")</f>
        <v>紅色的草叢 / 紅草 ×4</v>
      </c>
      <c r="I194" s="36" t="str">
        <f>IFERROR(__xludf.DUMMYFUNCTION("IFERROR(INDEX(FILTER('棲息地'!$D$2:$D995, ISNUMBER(SEARCH($B194, '棲息地'!$D$2:$D995))), 1), """")"),"炎兔兒、利歐路、圓法師、閃焰王牌")</f>
        <v>炎兔兒、利歐路、圓法師、閃焰王牌</v>
      </c>
      <c r="J194" s="36" t="str">
        <f>IFERROR(__xludf.DUMMYFUNCTION("IFERROR(INDEX(FILTER('棲息地'!$B$2:$B995 &amp; "" / "" &amp; '棲息地'!$C$2:$C995, ISNUMBER(SEARCH($B194, '棲息地'!$D$2:$D995))), 2), """")"),"")</f>
        <v/>
      </c>
      <c r="K194" s="36" t="str">
        <f>IFERROR(__xludf.DUMMYFUNCTION("IFERROR(INDEX(FILTER('棲息地'!$D$2:$D995, ISNUMBER(SEARCH($B194, '棲息地'!$D$2:$D995))), 2), """")"),"")</f>
        <v/>
      </c>
      <c r="L194" s="36" t="str">
        <f>IFERROR(__xludf.DUMMYFUNCTION("IFERROR(INDEX(FILTER('棲息地'!$D$2:$D995, ISNUMBER(SEARCH($B194, '棲息地'!$D$2:$D995))), 3), """")"),"")</f>
        <v/>
      </c>
      <c r="M194" s="36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22.5" customHeight="1">
      <c r="A195" s="33" t="s">
        <v>1679</v>
      </c>
      <c r="B195" s="35" t="s">
        <v>1680</v>
      </c>
      <c r="C195" s="35" t="s">
        <v>1681</v>
      </c>
      <c r="D195" s="34" t="s">
        <v>1080</v>
      </c>
      <c r="E195" s="35" t="s">
        <v>1093</v>
      </c>
      <c r="F195" s="35" t="s">
        <v>1682</v>
      </c>
      <c r="G195" s="35" t="s">
        <v>1129</v>
      </c>
      <c r="H195" s="36" t="str">
        <f>IFERROR(__xludf.DUMMYFUNCTION("IFERROR(INDEX(FILTER('棲息地'!$B$2:$B995 &amp; "" / "" &amp; '棲息地'!$C$2:$C995, ISNUMBER(SEARCH($B195, '棲息地'!$D$2:$D995))), 1), """")"),"樹蔭的草叢 / 大樹 ×1、綠草 ×4")</f>
        <v>樹蔭的草叢 / 大樹 ×1、綠草 ×4</v>
      </c>
      <c r="I195" s="36" t="str">
        <f>IFERROR(__xludf.DUMMYFUNCTION("IFERROR(INDEX(FILTER('棲息地'!$D$2:$D995, ISNUMBER(SEARCH($B195, '棲息地'!$D$2:$D995))), 1), """")"),"飛天螳螂、喇叭芽、巨鉗螳螂（空空鎮)、赫拉克羅斯、凱羅斯、貪心栗鼠（空空鎮)")</f>
        <v>飛天螳螂、喇叭芽、巨鉗螳螂（空空鎮)、赫拉克羅斯、凱羅斯、貪心栗鼠（空空鎮)</v>
      </c>
      <c r="J195" s="36" t="str">
        <f>IFERROR(__xludf.DUMMYFUNCTION("IFERROR(INDEX(FILTER('棲息地'!$B$2:$B995 &amp; "" / "" &amp; '棲息地'!$C$2:$C995, ISNUMBER(SEARCH($B195, '棲息地'!$D$2:$D995))), 2), """")"),"")</f>
        <v/>
      </c>
      <c r="K195" s="36" t="str">
        <f>IFERROR(__xludf.DUMMYFUNCTION("IFERROR(INDEX(FILTER('棲息地'!$D$2:$D995, ISNUMBER(SEARCH($B195, '棲息地'!$D$2:$D995))), 2), """")"),"")</f>
        <v/>
      </c>
      <c r="L195" s="36" t="str">
        <f>IFERROR(__xludf.DUMMYFUNCTION("IFERROR(INDEX(FILTER('棲息地'!$D$2:$D995, ISNUMBER(SEARCH($B195, '棲息地'!$D$2:$D995))), 3), """")"),"")</f>
        <v/>
      </c>
      <c r="M195" s="36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22.5" customHeight="1">
      <c r="A196" s="33" t="s">
        <v>1683</v>
      </c>
      <c r="B196" s="35" t="s">
        <v>668</v>
      </c>
      <c r="C196" s="35" t="s">
        <v>1684</v>
      </c>
      <c r="D196" s="34" t="s">
        <v>1080</v>
      </c>
      <c r="E196" s="35" t="s">
        <v>1093</v>
      </c>
      <c r="F196" s="35" t="s">
        <v>1685</v>
      </c>
      <c r="G196" s="35" t="s">
        <v>1083</v>
      </c>
      <c r="H196" s="36" t="str">
        <f>IFERROR(__xludf.DUMMYFUNCTION("IFERROR(INDEX(FILTER('棲息地'!$B$2:$B995 &amp; "" / "" &amp; '棲息地'!$C$2:$C995, ISNUMBER(SEARCH($B196, '棲息地'!$D$2:$D995))), 1), """")"),"主廚的廚房 / 自然風桌子 ×1、時髦鍋子 ×1、盤子食物 ×1")</f>
        <v>主廚的廚房 / 自然風桌子 ×1、時髦鍋子 ×1、盤子食物 ×1</v>
      </c>
      <c r="I196" s="36" t="str">
        <f>IFERROR(__xludf.DUMMYFUNCTION("IFERROR(INDEX(FILTER('棲息地'!$D$2:$D995, ISNUMBER(SEARCH($B196, '棲息地'!$D$2:$D995))), 1), """")"),"藏飽栗鼠(廚師)")</f>
        <v>藏飽栗鼠(廚師)</v>
      </c>
      <c r="J196" s="36" t="str">
        <f>IFERROR(__xludf.DUMMYFUNCTION("IFERROR(INDEX(FILTER('棲息地'!$B$2:$B995 &amp; "" / "" &amp; '棲息地'!$C$2:$C995, ISNUMBER(SEARCH($B196, '棲息地'!$D$2:$D995))), 2), """")"),"")</f>
        <v/>
      </c>
      <c r="K196" s="36" t="str">
        <f>IFERROR(__xludf.DUMMYFUNCTION("IFERROR(INDEX(FILTER('棲息地'!$D$2:$D995, ISNUMBER(SEARCH($B196, '棲息地'!$D$2:$D995))), 2), """")"),"")</f>
        <v/>
      </c>
      <c r="L196" s="36" t="str">
        <f>IFERROR(__xludf.DUMMYFUNCTION("IFERROR(INDEX(FILTER('棲息地'!$D$2:$D995, ISNUMBER(SEARCH($B196, '棲息地'!$D$2:$D995))), 3), """")"),"")</f>
        <v/>
      </c>
      <c r="M196" s="36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22.5" customHeight="1">
      <c r="A197" s="33" t="s">
        <v>1686</v>
      </c>
      <c r="B197" s="34" t="s">
        <v>1687</v>
      </c>
      <c r="C197" s="35" t="s">
        <v>1688</v>
      </c>
      <c r="D197" s="34" t="s">
        <v>1080</v>
      </c>
      <c r="E197" s="35" t="s">
        <v>1093</v>
      </c>
      <c r="F197" s="35" t="s">
        <v>1689</v>
      </c>
      <c r="G197" s="35" t="s">
        <v>1087</v>
      </c>
      <c r="H197" s="36" t="str">
        <f>IFERROR(__xludf.DUMMYFUNCTION("IFERROR(INDEX(FILTER('棲息地'!$B$2:$B995 &amp; "" / "" &amp; '棲息地'!$C$2:$C995, ISNUMBER(SEARCH($B197, '棲息地'!$D$2:$D995))), 1), """")"),"平交道 / 鐵軌 ×1、平交道柵欄 ×1")</f>
        <v>平交道 / 鐵軌 ×1、平交道柵欄 ×1</v>
      </c>
      <c r="I197" s="36" t="str">
        <f>IFERROR(__xludf.DUMMYFUNCTION("IFERROR(INDEX(FILTER('棲息地'!$D$2:$D995, ISNUMBER(SEARCH($B197, '棲息地'!$D$2:$D995))), 1), """")"),"大炭車、小炭仔")</f>
        <v>大炭車、小炭仔</v>
      </c>
      <c r="J197" s="36" t="str">
        <f>IFERROR(__xludf.DUMMYFUNCTION("IFERROR(INDEX(FILTER('棲息地'!$B$2:$B995 &amp; "" / "" &amp; '棲息地'!$C$2:$C995, ISNUMBER(SEARCH($B197, '棲息地'!$D$2:$D995))), 2), """")"),"")</f>
        <v/>
      </c>
      <c r="K197" s="36" t="str">
        <f>IFERROR(__xludf.DUMMYFUNCTION("IFERROR(INDEX(FILTER('棲息地'!$D$2:$D995, ISNUMBER(SEARCH($B197, '棲息地'!$D$2:$D995))), 2), """")"),"")</f>
        <v/>
      </c>
      <c r="L197" s="36" t="str">
        <f>IFERROR(__xludf.DUMMYFUNCTION("IFERROR(INDEX(FILTER('棲息地'!$D$2:$D995, ISNUMBER(SEARCH($B197, '棲息地'!$D$2:$D995))), 3), """")"),"")</f>
        <v/>
      </c>
      <c r="M197" s="36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22.5" customHeight="1">
      <c r="A198" s="33" t="s">
        <v>1690</v>
      </c>
      <c r="B198" s="34" t="s">
        <v>1691</v>
      </c>
      <c r="C198" s="35" t="s">
        <v>1688</v>
      </c>
      <c r="D198" s="34" t="s">
        <v>1080</v>
      </c>
      <c r="E198" s="35" t="s">
        <v>1093</v>
      </c>
      <c r="F198" s="35" t="s">
        <v>1689</v>
      </c>
      <c r="G198" s="35" t="s">
        <v>1095</v>
      </c>
      <c r="H198" s="36" t="str">
        <f>IFERROR(__xludf.DUMMYFUNCTION("IFERROR(INDEX(FILTER('棲息地'!$B$2:$B995 &amp; "" / "" &amp; '棲息地'!$C$2:$C995, ISNUMBER(SEARCH($B198, '棲息地'!$D$2:$D995))), 1), """")"),"平交道 / 鐵軌 ×1、平交道柵欄 ×1")</f>
        <v>平交道 / 鐵軌 ×1、平交道柵欄 ×1</v>
      </c>
      <c r="I198" s="36" t="str">
        <f>IFERROR(__xludf.DUMMYFUNCTION("IFERROR(INDEX(FILTER('棲息地'!$D$2:$D995, ISNUMBER(SEARCH($B198, '棲息地'!$D$2:$D995))), 1), """")"),"大炭車、小炭仔")</f>
        <v>大炭車、小炭仔</v>
      </c>
      <c r="J198" s="36" t="str">
        <f>IFERROR(__xludf.DUMMYFUNCTION("IFERROR(INDEX(FILTER('棲息地'!$B$2:$B995 &amp; "" / "" &amp; '棲息地'!$C$2:$C995, ISNUMBER(SEARCH($B198, '棲息地'!$D$2:$D995))), 2), """")"),"")</f>
        <v/>
      </c>
      <c r="K198" s="36" t="str">
        <f>IFERROR(__xludf.DUMMYFUNCTION("IFERROR(INDEX(FILTER('棲息地'!$D$2:$D995, ISNUMBER(SEARCH($B198, '棲息地'!$D$2:$D995))), 2), """")"),"")</f>
        <v/>
      </c>
      <c r="L198" s="36" t="str">
        <f>IFERROR(__xludf.DUMMYFUNCTION("IFERROR(INDEX(FILTER('棲息地'!$D$2:$D995, ISNUMBER(SEARCH($B198, '棲息地'!$D$2:$D995))), 3), """")"),"")</f>
        <v/>
      </c>
      <c r="M198" s="36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22.5" customHeight="1">
      <c r="A199" s="33" t="s">
        <v>1692</v>
      </c>
      <c r="B199" s="34" t="s">
        <v>1693</v>
      </c>
      <c r="C199" s="35" t="s">
        <v>1688</v>
      </c>
      <c r="D199" s="34" t="s">
        <v>1080</v>
      </c>
      <c r="E199" s="35" t="s">
        <v>1093</v>
      </c>
      <c r="F199" s="35" t="s">
        <v>1689</v>
      </c>
      <c r="G199" s="35" t="s">
        <v>1095</v>
      </c>
      <c r="H199" s="36" t="str">
        <f>IFERROR(__xludf.DUMMYFUNCTION("IFERROR(INDEX(FILTER('棲息地'!$B$2:$B995 &amp; "" / "" &amp; '棲息地'!$C$2:$C995, ISNUMBER(SEARCH($B199, '棲息地'!$D$2:$D995))), 1), """")"),"沉甸甸的鐵 / 鐵床鋪/鐵桌/鐵椅/提燈 各1")</f>
        <v>沉甸甸的鐵 / 鐵床鋪/鐵桌/鐵椅/提燈 各1</v>
      </c>
      <c r="I199" s="36" t="str">
        <f>IFERROR(__xludf.DUMMYFUNCTION("IFERROR(INDEX(FILTER('棲息地'!$D$2:$D995, ISNUMBER(SEARCH($B199, '棲息地'!$D$2:$D995))), 1), """")"),"巨炭山（★）")</f>
        <v>巨炭山（★）</v>
      </c>
      <c r="J199" s="36" t="str">
        <f>IFERROR(__xludf.DUMMYFUNCTION("IFERROR(INDEX(FILTER('棲息地'!$B$2:$B995 &amp; "" / "" &amp; '棲息地'!$C$2:$C995, ISNUMBER(SEARCH($B199, '棲息地'!$D$2:$D995))), 2), """")"),"")</f>
        <v/>
      </c>
      <c r="K199" s="36" t="str">
        <f>IFERROR(__xludf.DUMMYFUNCTION("IFERROR(INDEX(FILTER('棲息地'!$D$2:$D995, ISNUMBER(SEARCH($B199, '棲息地'!$D$2:$D995))), 2), """")"),"")</f>
        <v/>
      </c>
      <c r="L199" s="36" t="str">
        <f>IFERROR(__xludf.DUMMYFUNCTION("IFERROR(INDEX(FILTER('棲息地'!$D$2:$D995, ISNUMBER(SEARCH($B199, '棲息地'!$D$2:$D995))), 3), """")"),"")</f>
        <v/>
      </c>
      <c r="M199" s="36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22.5" customHeight="1">
      <c r="A200" s="33" t="s">
        <v>1694</v>
      </c>
      <c r="B200" s="34" t="s">
        <v>1695</v>
      </c>
      <c r="C200" s="35" t="s">
        <v>1169</v>
      </c>
      <c r="D200" s="34" t="s">
        <v>1080</v>
      </c>
      <c r="E200" s="35" t="s">
        <v>1103</v>
      </c>
      <c r="F200" s="35" t="s">
        <v>1696</v>
      </c>
      <c r="G200" s="35" t="s">
        <v>1083</v>
      </c>
      <c r="H200" s="36" t="str">
        <f>IFERROR(__xludf.DUMMYFUNCTION("IFERROR(INDEX(FILTER('棲息地'!$B$2:$B995 &amp; "" / "" &amp; '棲息地'!$C$2:$C995, ISNUMBER(SEARCH($B200, '棲息地'!$D$2:$D995))), 1), """")"),"悠閒回顧照片 / (相框或相關)")</f>
        <v>悠閒回顧照片 / (相框或相關)</v>
      </c>
      <c r="I200" s="36" t="str">
        <f>IFERROR(__xludf.DUMMYFUNCTION("IFERROR(INDEX(FILTER('棲息地'!$D$2:$D995, ISNUMBER(SEARCH($B200, '棲息地'!$D$2:$D995))), 1), """")"),"毒電嬰(凸隆隆山地)")</f>
        <v>毒電嬰(凸隆隆山地)</v>
      </c>
      <c r="J200" s="36" t="str">
        <f>IFERROR(__xludf.DUMMYFUNCTION("IFERROR(INDEX(FILTER('棲息地'!$B$2:$B995 &amp; "" / "" &amp; '棲息地'!$C$2:$C995, ISNUMBER(SEARCH($B200, '棲息地'!$D$2:$D995))), 2), """")"),"")</f>
        <v/>
      </c>
      <c r="K200" s="36" t="str">
        <f>IFERROR(__xludf.DUMMYFUNCTION("IFERROR(INDEX(FILTER('棲息地'!$D$2:$D995, ISNUMBER(SEARCH($B200, '棲息地'!$D$2:$D995))), 2), """")"),"")</f>
        <v/>
      </c>
      <c r="L200" s="36" t="str">
        <f>IFERROR(__xludf.DUMMYFUNCTION("IFERROR(INDEX(FILTER('棲息地'!$D$2:$D995, ISNUMBER(SEARCH($B200, '棲息地'!$D$2:$D995))), 3), """")"),"")</f>
        <v/>
      </c>
      <c r="M200" s="36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22.5" customHeight="1">
      <c r="A201" s="33" t="s">
        <v>1697</v>
      </c>
      <c r="B201" s="35" t="s">
        <v>1698</v>
      </c>
      <c r="C201" s="35" t="s">
        <v>1699</v>
      </c>
      <c r="D201" s="34" t="s">
        <v>1080</v>
      </c>
      <c r="E201" s="35" t="s">
        <v>1103</v>
      </c>
      <c r="F201" s="35" t="s">
        <v>1700</v>
      </c>
      <c r="G201" s="35" t="s">
        <v>1701</v>
      </c>
      <c r="H201" s="36" t="str">
        <f>IFERROR(__xludf.DUMMYFUNCTION("IFERROR(INDEX(FILTER('棲息地'!$B$2:$B995 &amp; "" / "" &amp; '棲息地'!$C$2:$C995, ISNUMBER(SEARCH($B201, '棲息地'!$D$2:$D995))), 1), """")"),"高調的搖滾舞台 / 喇叭/舞台/麥克風 + 電吉他")</f>
        <v>高調的搖滾舞台 / 喇叭/舞台/麥克風 + 電吉他</v>
      </c>
      <c r="I201" s="36" t="str">
        <f>IFERROR(__xludf.DUMMYFUNCTION("IFERROR(INDEX(FILTER('棲息地'!$D$2:$D995, ISNUMBER(SEARCH($B201, '棲息地'!$D$2:$D995))), 1), """")"),"顫弦蠑螈-高調（★）")</f>
        <v>顫弦蠑螈-高調（★）</v>
      </c>
      <c r="J201" s="36" t="str">
        <f>IFERROR(__xludf.DUMMYFUNCTION("IFERROR(INDEX(FILTER('棲息地'!$B$2:$B995 &amp; "" / "" &amp; '棲息地'!$C$2:$C995, ISNUMBER(SEARCH($B201, '棲息地'!$D$2:$D995))), 2), """")"),"低調的搖滾舞台 / 喇叭/舞台/麥克風 + 電貝斯")</f>
        <v>低調的搖滾舞台 / 喇叭/舞台/麥克風 + 電貝斯</v>
      </c>
      <c r="K201" s="36" t="str">
        <f>IFERROR(__xludf.DUMMYFUNCTION("IFERROR(INDEX(FILTER('棲息地'!$D$2:$D995, ISNUMBER(SEARCH($B201, '棲息地'!$D$2:$D995))), 2), """")"),"顫弦蠑螈-低調（★）")</f>
        <v>顫弦蠑螈-低調（★）</v>
      </c>
      <c r="L201" s="36" t="str">
        <f>IFERROR(__xludf.DUMMYFUNCTION("IFERROR(INDEX(FILTER('棲息地'!$D$2:$D995, ISNUMBER(SEARCH($B201, '棲息地'!$D$2:$D995))), 3), """")"),"")</f>
        <v/>
      </c>
      <c r="M201" s="36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22.5" customHeight="1">
      <c r="A202" s="33" t="s">
        <v>1702</v>
      </c>
      <c r="B202" s="34" t="s">
        <v>1703</v>
      </c>
      <c r="C202" s="35" t="s">
        <v>1139</v>
      </c>
      <c r="D202" s="34" t="s">
        <v>1080</v>
      </c>
      <c r="E202" s="35" t="s">
        <v>1093</v>
      </c>
      <c r="F202" s="35" t="s">
        <v>1704</v>
      </c>
      <c r="G202" s="35" t="s">
        <v>1083</v>
      </c>
      <c r="H202" s="36" t="str">
        <f>IFERROR(__xludf.DUMMYFUNCTION("IFERROR(INDEX(FILTER('棲息地'!$B$2:$B995 &amp; "" / "" &amp; '棲息地'!$C$2:$C995, ISNUMBER(SEARCH($B202, '棲息地'!$D$2:$D995))), 1), """")"),"優雅的花田 / 岩場之花 ×4")</f>
        <v>優雅的花田 / 岩場之花 ×4</v>
      </c>
      <c r="I202" s="36" t="str">
        <f>IFERROR(__xludf.DUMMYFUNCTION("IFERROR(INDEX(FILTER('棲息地'!$D$2:$D995, ISNUMBER(SEARCH($B202, '棲息地'!$D$2:$D995))), 1), """")"),"皮寶寶、狗仔包、皮皮、麻花犬、皮可西")</f>
        <v>皮寶寶、狗仔包、皮皮、麻花犬、皮可西</v>
      </c>
      <c r="J202" s="36" t="str">
        <f>IFERROR(__xludf.DUMMYFUNCTION("IFERROR(INDEX(FILTER('棲息地'!$B$2:$B995 &amp; "" / "" &amp; '棲息地'!$C$2:$C995, ISNUMBER(SEARCH($B202, '棲息地'!$D$2:$D995))), 2), """")"),"大口吃麵包工坊 / 盤子上的食物 ×1")</f>
        <v>大口吃麵包工坊 / 盤子上的食物 ×1</v>
      </c>
      <c r="K202" s="36" t="str">
        <f>IFERROR(__xludf.DUMMYFUNCTION("IFERROR(INDEX(FILTER('棲息地'!$D$2:$D995, ISNUMBER(SEARCH($B202, '棲息地'!$D$2:$D995))), 2), """")"),"狗仔包、麻花犬")</f>
        <v>狗仔包、麻花犬</v>
      </c>
      <c r="L202" s="36" t="str">
        <f>IFERROR(__xludf.DUMMYFUNCTION("IFERROR(INDEX(FILTER('棲息地'!$D$2:$D995, ISNUMBER(SEARCH($B202, '棲息地'!$D$2:$D995))), 3), """")"),"")</f>
        <v/>
      </c>
      <c r="M202" s="36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22.5" customHeight="1">
      <c r="A203" s="33" t="s">
        <v>1705</v>
      </c>
      <c r="B203" s="34" t="s">
        <v>1706</v>
      </c>
      <c r="C203" s="35" t="s">
        <v>1354</v>
      </c>
      <c r="D203" s="34" t="s">
        <v>1080</v>
      </c>
      <c r="E203" s="35" t="s">
        <v>1093</v>
      </c>
      <c r="F203" s="35" t="s">
        <v>1707</v>
      </c>
      <c r="G203" s="35" t="s">
        <v>1087</v>
      </c>
      <c r="H203" s="36" t="str">
        <f>IFERROR(__xludf.DUMMYFUNCTION("IFERROR(INDEX(FILTER('棲息地'!$B$2:$B995 &amp; "" / "" &amp; '棲息地'!$C$2:$C995, ISNUMBER(SEARCH($B203, '棲息地'!$D$2:$D995))), 1), """")"),"優雅的花田 / 岩場之花 ×4")</f>
        <v>優雅的花田 / 岩場之花 ×4</v>
      </c>
      <c r="I203" s="36" t="str">
        <f>IFERROR(__xludf.DUMMYFUNCTION("IFERROR(INDEX(FILTER('棲息地'!$D$2:$D995, ISNUMBER(SEARCH($B203, '棲息地'!$D$2:$D995))), 1), """")"),"皮寶寶、狗仔包、皮皮、麻花犬、皮可西")</f>
        <v>皮寶寶、狗仔包、皮皮、麻花犬、皮可西</v>
      </c>
      <c r="J203" s="36" t="str">
        <f>IFERROR(__xludf.DUMMYFUNCTION("IFERROR(INDEX(FILTER('棲息地'!$B$2:$B995 &amp; "" / "" &amp; '棲息地'!$C$2:$C995, ISNUMBER(SEARCH($B203, '棲息地'!$D$2:$D995))), 2), """")"),"大口吃麵包工坊 / 盤子上的食物 ×1")</f>
        <v>大口吃麵包工坊 / 盤子上的食物 ×1</v>
      </c>
      <c r="K203" s="36" t="str">
        <f>IFERROR(__xludf.DUMMYFUNCTION("IFERROR(INDEX(FILTER('棲息地'!$D$2:$D995, ISNUMBER(SEARCH($B203, '棲息地'!$D$2:$D995))), 2), """")"),"狗仔包、麻花犬")</f>
        <v>狗仔包、麻花犬</v>
      </c>
      <c r="L203" s="36" t="str">
        <f>IFERROR(__xludf.DUMMYFUNCTION("IFERROR(INDEX(FILTER('棲息地'!$D$2:$D995, ISNUMBER(SEARCH($B203, '棲息地'!$D$2:$D995))), 3), """")"),"")</f>
        <v/>
      </c>
      <c r="M203" s="36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22.5" customHeight="1">
      <c r="A204" s="33" t="s">
        <v>1708</v>
      </c>
      <c r="B204" s="34" t="s">
        <v>1709</v>
      </c>
      <c r="C204" s="35" t="s">
        <v>2</v>
      </c>
      <c r="D204" s="34" t="s">
        <v>1080</v>
      </c>
      <c r="E204" s="35" t="s">
        <v>1093</v>
      </c>
      <c r="F204" s="35" t="s">
        <v>1710</v>
      </c>
      <c r="G204" s="35" t="s">
        <v>1083</v>
      </c>
      <c r="H204" s="36" t="str">
        <f>IFERROR(__xludf.DUMMYFUNCTION("IFERROR(INDEX(FILTER('棲息地'!$B$2:$B995 &amp; "" / "" &amp; '棲息地'!$C$2:$C995, ISNUMBER(SEARCH($B204, '棲息地'!$D$2:$D995))), 1), """")"),"熔岩熔岩熱呼呼 / 滾燙岩石 ×1、岩漿 ×2")</f>
        <v>熔岩熔岩熱呼呼 / 滾燙岩石 ×1、岩漿 ×2</v>
      </c>
      <c r="I204" s="36" t="str">
        <f>IFERROR(__xludf.DUMMYFUNCTION("IFERROR(INDEX(FILTER('棲息地'!$D$2:$D995, ISNUMBER(SEARCH($B204, '棲息地'!$D$2:$D995))), 1), """")"),"炭小侍、火神蛾")</f>
        <v>炭小侍、火神蛾</v>
      </c>
      <c r="J204" s="36" t="str">
        <f>IFERROR(__xludf.DUMMYFUNCTION("IFERROR(INDEX(FILTER('棲息地'!$B$2:$B995 &amp; "" / "" &amp; '棲息地'!$C$2:$C995, ISNUMBER(SEARCH($B204, '棲息地'!$D$2:$D995))), 2), """")"),"")</f>
        <v/>
      </c>
      <c r="K204" s="36" t="str">
        <f>IFERROR(__xludf.DUMMYFUNCTION("IFERROR(INDEX(FILTER('棲息地'!$D$2:$D995, ISNUMBER(SEARCH($B204, '棲息地'!$D$2:$D995))), 2), """")"),"")</f>
        <v/>
      </c>
      <c r="L204" s="36" t="str">
        <f>IFERROR(__xludf.DUMMYFUNCTION("IFERROR(INDEX(FILTER('棲息地'!$D$2:$D995, ISNUMBER(SEARCH($B204, '棲息地'!$D$2:$D995))), 3), """")"),"")</f>
        <v/>
      </c>
      <c r="M204" s="36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22.5" customHeight="1">
      <c r="A205" s="33" t="s">
        <v>1711</v>
      </c>
      <c r="B205" s="34" t="s">
        <v>959</v>
      </c>
      <c r="C205" s="35" t="s">
        <v>1712</v>
      </c>
      <c r="D205" s="34" t="s">
        <v>1080</v>
      </c>
      <c r="E205" s="35" t="s">
        <v>1093</v>
      </c>
      <c r="F205" s="35" t="s">
        <v>1710</v>
      </c>
      <c r="G205" s="35" t="s">
        <v>1095</v>
      </c>
      <c r="H205" s="36" t="str">
        <f>IFERROR(__xludf.DUMMYFUNCTION("IFERROR(INDEX(FILTER('棲息地'!$B$2:$B995 &amp; "" / "" &amp; '棲息地'!$C$2:$C995, ISNUMBER(SEARCH($B205, '棲息地'!$D$2:$D995))), 1), """")"),"忠誠騎士的祭壇 / 展示台、慶祝之鎧、踏腳石、篝火")</f>
        <v>忠誠騎士的祭壇 / 展示台、慶祝之鎧、踏腳石、篝火</v>
      </c>
      <c r="I205" s="36" t="str">
        <f>IFERROR(__xludf.DUMMYFUNCTION("IFERROR(INDEX(FILTER('棲息地'!$D$2:$D995, ISNUMBER(SEARCH($B205, '棲息地'!$D$2:$D995))), 1), """")"),"紅蓮鎧騎")</f>
        <v>紅蓮鎧騎</v>
      </c>
      <c r="J205" s="36" t="str">
        <f>IFERROR(__xludf.DUMMYFUNCTION("IFERROR(INDEX(FILTER('棲息地'!$B$2:$B995 &amp; "" / "" &amp; '棲息地'!$C$2:$C995, ISNUMBER(SEARCH($B205, '棲息地'!$D$2:$D995))), 2), """")"),"")</f>
        <v/>
      </c>
      <c r="K205" s="36" t="str">
        <f>IFERROR(__xludf.DUMMYFUNCTION("IFERROR(INDEX(FILTER('棲息地'!$D$2:$D995, ISNUMBER(SEARCH($B205, '棲息地'!$D$2:$D995))), 2), """")"),"")</f>
        <v/>
      </c>
      <c r="L205" s="36" t="str">
        <f>IFERROR(__xludf.DUMMYFUNCTION("IFERROR(INDEX(FILTER('棲息地'!$D$2:$D995, ISNUMBER(SEARCH($B205, '棲息地'!$D$2:$D995))), 3), """")"),"")</f>
        <v/>
      </c>
      <c r="M205" s="36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22.5" customHeight="1">
      <c r="A206" s="33" t="s">
        <v>1713</v>
      </c>
      <c r="B206" s="34" t="s">
        <v>954</v>
      </c>
      <c r="C206" s="35" t="s">
        <v>1712</v>
      </c>
      <c r="D206" s="34" t="s">
        <v>1080</v>
      </c>
      <c r="E206" s="35" t="s">
        <v>1093</v>
      </c>
      <c r="F206" s="35" t="s">
        <v>1714</v>
      </c>
      <c r="G206" s="35" t="s">
        <v>1125</v>
      </c>
      <c r="H206" s="36" t="str">
        <f>IFERROR(__xludf.DUMMYFUNCTION("IFERROR(INDEX(FILTER('棲息地'!$B$2:$B995 &amp; "" / "" &amp; '棲息地'!$C$2:$C995, ISNUMBER(SEARCH($B206, '棲息地'!$D$2:$D995))), 1), """")"),"怨念騎士的祭壇 / 展示台、咒術之鎧、踏腳石、篝火")</f>
        <v>怨念騎士的祭壇 / 展示台、咒術之鎧、踏腳石、篝火</v>
      </c>
      <c r="I206" s="36" t="str">
        <f>IFERROR(__xludf.DUMMYFUNCTION("IFERROR(INDEX(FILTER('棲息地'!$D$2:$D995, ISNUMBER(SEARCH($B206, '棲息地'!$D$2:$D995))), 1), """")"),"蒼炎刃鬼")</f>
        <v>蒼炎刃鬼</v>
      </c>
      <c r="J206" s="36" t="str">
        <f>IFERROR(__xludf.DUMMYFUNCTION("IFERROR(INDEX(FILTER('棲息地'!$B$2:$B995 &amp; "" / "" &amp; '棲息地'!$C$2:$C995, ISNUMBER(SEARCH($B206, '棲息地'!$D$2:$D995))), 2), """")"),"")</f>
        <v/>
      </c>
      <c r="K206" s="36" t="str">
        <f>IFERROR(__xludf.DUMMYFUNCTION("IFERROR(INDEX(FILTER('棲息地'!$D$2:$D995, ISNUMBER(SEARCH($B206, '棲息地'!$D$2:$D995))), 2), """")"),"")</f>
        <v/>
      </c>
      <c r="L206" s="36" t="str">
        <f>IFERROR(__xludf.DUMMYFUNCTION("IFERROR(INDEX(FILTER('棲息地'!$D$2:$D995, ISNUMBER(SEARCH($B206, '棲息地'!$D$2:$D995))), 3), """")"),"")</f>
        <v/>
      </c>
      <c r="M206" s="36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22.5" customHeight="1">
      <c r="A207" s="33" t="s">
        <v>1715</v>
      </c>
      <c r="B207" s="34" t="s">
        <v>597</v>
      </c>
      <c r="C207" s="35" t="s">
        <v>1265</v>
      </c>
      <c r="D207" s="35" t="s">
        <v>1716</v>
      </c>
      <c r="E207" s="35" t="s">
        <v>1200</v>
      </c>
      <c r="F207" s="35" t="s">
        <v>1717</v>
      </c>
      <c r="G207" s="35" t="s">
        <v>1125</v>
      </c>
      <c r="H207" s="36" t="str">
        <f>IFERROR(__xludf.DUMMYFUNCTION("IFERROR(INDEX(FILTER('棲息地'!$B$2:$B995 &amp; "" / "" &amp; '棲息地'!$C$2:$C995, ISNUMBER(SEARCH($B207, '棲息地'!$D$2:$D995))), 1), """")"),"詭異的白色岩石 / 青苔 ×4、木箱 ×1、提燈 ×1")</f>
        <v>詭異的白色岩石 / 青苔 ×4、木箱 ×1、提燈 ×1</v>
      </c>
      <c r="I207" s="36" t="str">
        <f>IFERROR(__xludf.DUMMYFUNCTION("IFERROR(INDEX(FILTER('棲息地'!$D$2:$D995, ISNUMBER(SEARCH($B207, '棲息地'!$D$2:$D995))), 1), """")"),"晶光芽")</f>
        <v>晶光芽</v>
      </c>
      <c r="J207" s="36" t="str">
        <f>IFERROR(__xludf.DUMMYFUNCTION("IFERROR(INDEX(FILTER('棲息地'!$B$2:$B995 &amp; "" / "" &amp; '棲息地'!$C$2:$C995, ISNUMBER(SEARCH($B207, '棲息地'!$D$2:$D995))), 2), """")"),"在置物場吃點東西 / 盤中食物/木箱/提燈/木桶 各1")</f>
        <v>在置物場吃點東西 / 盤中食物/木箱/提燈/木桶 各1</v>
      </c>
      <c r="K207" s="36" t="str">
        <f>IFERROR(__xludf.DUMMYFUNCTION("IFERROR(INDEX(FILTER('棲息地'!$D$2:$D995, ISNUMBER(SEARCH($B207, '棲息地'!$D$2:$D995))), 2), """")"),"地鼠、晶光芽、晶光花（★）")</f>
        <v>地鼠、晶光芽、晶光花（★）</v>
      </c>
      <c r="L207" s="36" t="str">
        <f>IFERROR(__xludf.DUMMYFUNCTION("IFERROR(INDEX(FILTER('棲息地'!$D$2:$D995, ISNUMBER(SEARCH($B207, '棲息地'!$D$2:$D995))), 3), """")"),"")</f>
        <v/>
      </c>
      <c r="M207" s="36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22.5" customHeight="1">
      <c r="A208" s="33" t="s">
        <v>1718</v>
      </c>
      <c r="B208" s="34" t="s">
        <v>1719</v>
      </c>
      <c r="C208" s="35" t="s">
        <v>1265</v>
      </c>
      <c r="D208" s="35" t="s">
        <v>1716</v>
      </c>
      <c r="E208" s="35" t="s">
        <v>1200</v>
      </c>
      <c r="F208" s="35" t="s">
        <v>1717</v>
      </c>
      <c r="G208" s="35" t="s">
        <v>1125</v>
      </c>
      <c r="H208" s="36" t="str">
        <f>IFERROR(__xludf.DUMMYFUNCTION("IFERROR(INDEX(FILTER('棲息地'!$B$2:$B995 &amp; "" / "" &amp; '棲息地'!$C$2:$C995, ISNUMBER(SEARCH($B208, '棲息地'!$D$2:$D995))), 1), """")"),"在置物場吃點東西 / 盤中食物/木箱/提燈/木桶 各1")</f>
        <v>在置物場吃點東西 / 盤中食物/木箱/提燈/木桶 各1</v>
      </c>
      <c r="I208" s="36" t="str">
        <f>IFERROR(__xludf.DUMMYFUNCTION("IFERROR(INDEX(FILTER('棲息地'!$D$2:$D995, ISNUMBER(SEARCH($B208, '棲息地'!$D$2:$D995))), 1), """")"),"地鼠、晶光芽、晶光花（★）")</f>
        <v>地鼠、晶光芽、晶光花（★）</v>
      </c>
      <c r="J208" s="36" t="str">
        <f>IFERROR(__xludf.DUMMYFUNCTION("IFERROR(INDEX(FILTER('棲息地'!$B$2:$B995 &amp; "" / "" &amp; '棲息地'!$C$2:$C995, ISNUMBER(SEARCH($B208, '棲息地'!$D$2:$D995))), 2), """")"),"")</f>
        <v/>
      </c>
      <c r="K208" s="36" t="str">
        <f>IFERROR(__xludf.DUMMYFUNCTION("IFERROR(INDEX(FILTER('棲息地'!$D$2:$D995, ISNUMBER(SEARCH($B208, '棲息地'!$D$2:$D995))), 2), """")"),"")</f>
        <v/>
      </c>
      <c r="L208" s="36" t="str">
        <f>IFERROR(__xludf.DUMMYFUNCTION("IFERROR(INDEX(FILTER('棲息地'!$D$2:$D995, ISNUMBER(SEARCH($B208, '棲息地'!$D$2:$D995))), 3), """")"),"")</f>
        <v/>
      </c>
      <c r="M208" s="36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22.5" customHeight="1">
      <c r="A209" s="33" t="s">
        <v>1720</v>
      </c>
      <c r="B209" s="34" t="s">
        <v>1721</v>
      </c>
      <c r="C209" s="35" t="s">
        <v>1722</v>
      </c>
      <c r="D209" s="34" t="s">
        <v>1080</v>
      </c>
      <c r="E209" s="35" t="s">
        <v>1200</v>
      </c>
      <c r="F209" s="35" t="s">
        <v>1723</v>
      </c>
      <c r="G209" s="35" t="s">
        <v>1125</v>
      </c>
      <c r="H209" s="36" t="str">
        <f>IFERROR(__xludf.DUMMYFUNCTION("IFERROR(INDEX(FILTER('棲息地'!$B$2:$B995 &amp; "" / "" &amp; '棲息地'!$C$2:$C995, ISNUMBER(SEARCH($B209, '棲息地'!$D$2:$D995))), 1), """")"),"小小博物館 / 隔板 ×3、台座 ×1、遺失物(大) ×1")</f>
        <v>小小博物館 / 隔板 ×3、台座 ×1、遺失物(大) ×1</v>
      </c>
      <c r="I209" s="36" t="str">
        <f>IFERROR(__xludf.DUMMYFUNCTION("IFERROR(INDEX(FILTER('棲息地'!$D$2:$D995, ISNUMBER(SEARCH($B209, '棲息地'!$D$2:$D995))), 1), """")"),"索財靈、風速狗")</f>
        <v>索財靈、風速狗</v>
      </c>
      <c r="J209" s="36" t="str">
        <f>IFERROR(__xludf.DUMMYFUNCTION("IFERROR(INDEX(FILTER('棲息地'!$B$2:$B995 &amp; "" / "" &amp; '棲息地'!$C$2:$C995, ISNUMBER(SEARCH($B209, '棲息地'!$D$2:$D995))), 2), """")"),"")</f>
        <v/>
      </c>
      <c r="K209" s="36" t="str">
        <f>IFERROR(__xludf.DUMMYFUNCTION("IFERROR(INDEX(FILTER('棲息地'!$D$2:$D995, ISNUMBER(SEARCH($B209, '棲息地'!$D$2:$D995))), 2), """")"),"")</f>
        <v/>
      </c>
      <c r="L209" s="36" t="str">
        <f>IFERROR(__xludf.DUMMYFUNCTION("IFERROR(INDEX(FILTER('棲息地'!$D$2:$D995, ISNUMBER(SEARCH($B209, '棲息地'!$D$2:$D995))), 3), """")"),"")</f>
        <v/>
      </c>
      <c r="M209" s="36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22.5" customHeight="1">
      <c r="A210" s="33" t="s">
        <v>1724</v>
      </c>
      <c r="B210" s="34" t="s">
        <v>1725</v>
      </c>
      <c r="C210" s="35" t="s">
        <v>1722</v>
      </c>
      <c r="D210" s="34" t="s">
        <v>1080</v>
      </c>
      <c r="E210" s="35" t="s">
        <v>1081</v>
      </c>
      <c r="F210" s="35" t="s">
        <v>1723</v>
      </c>
      <c r="G210" s="35" t="s">
        <v>1129</v>
      </c>
      <c r="H210" s="36" t="str">
        <f>IFERROR(__xludf.DUMMYFUNCTION("IFERROR(INDEX(FILTER('棲息地'!$B$2:$B995 &amp; "" / "" &amp; '棲息地'!$C$2:$C995, ISNUMBER(SEARCH($B210, '棲息地'!$D$2:$D995))), 1), """")"),"極致豪華 / 豪華燈/沙發/床鋪/桌子 各1")</f>
        <v>極致豪華 / 豪華燈/沙發/床鋪/桌子 各1</v>
      </c>
      <c r="I210" s="36" t="str">
        <f>IFERROR(__xludf.DUMMYFUNCTION("IFERROR(INDEX(FILTER('棲息地'!$D$2:$D995, ISNUMBER(SEARCH($B210, '棲息地'!$D$2:$D995))), 1), """")"),"賽富豪（★★）")</f>
        <v>賽富豪（★★）</v>
      </c>
      <c r="J210" s="36" t="str">
        <f>IFERROR(__xludf.DUMMYFUNCTION("IFERROR(INDEX(FILTER('棲息地'!$B$2:$B995 &amp; "" / "" &amp; '棲息地'!$C$2:$C995, ISNUMBER(SEARCH($B210, '棲息地'!$D$2:$D995))), 2), """")"),"")</f>
        <v/>
      </c>
      <c r="K210" s="36" t="str">
        <f>IFERROR(__xludf.DUMMYFUNCTION("IFERROR(INDEX(FILTER('棲息地'!$D$2:$D995, ISNUMBER(SEARCH($B210, '棲息地'!$D$2:$D995))), 2), """")"),"")</f>
        <v/>
      </c>
      <c r="L210" s="36" t="str">
        <f>IFERROR(__xludf.DUMMYFUNCTION("IFERROR(INDEX(FILTER('棲息地'!$D$2:$D995, ISNUMBER(SEARCH($B210, '棲息地'!$D$2:$D995))), 3), """")"),"")</f>
        <v/>
      </c>
      <c r="M210" s="36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22.5" customHeight="1">
      <c r="A211" s="33" t="s">
        <v>1726</v>
      </c>
      <c r="B211" s="34" t="s">
        <v>1727</v>
      </c>
      <c r="C211" s="35" t="s">
        <v>2</v>
      </c>
      <c r="D211" s="34" t="s">
        <v>1080</v>
      </c>
      <c r="E211" s="35" t="s">
        <v>1093</v>
      </c>
      <c r="F211" s="35" t="s">
        <v>1728</v>
      </c>
      <c r="G211" s="35" t="s">
        <v>1125</v>
      </c>
      <c r="H211" s="36" t="str">
        <f>IFERROR(__xludf.DUMMYFUNCTION("IFERROR(INDEX(FILTER('棲息地'!$B$2:$B995 &amp; "" / "" &amp; '棲息地'!$C$2:$C995, ISNUMBER(SEARCH($B211, '棲息地'!$D$2:$D995))), 1), """")"),"軟綿綿的花田 / 浮島之花 ×4")</f>
        <v>軟綿綿的花田 / 浮島之花 ×4</v>
      </c>
      <c r="I211" s="36" t="str">
        <f>IFERROR(__xludf.DUMMYFUNCTION("IFERROR(INDEX(FILTER('棲息地'!$D$2:$D995, ISNUMBER(SEARCH($B211, '棲息地'!$D$2:$D995))), 1), """")"),"六尾、九尾、夢妖、夢妖魔、稚山雀")</f>
        <v>六尾、九尾、夢妖、夢妖魔、稚山雀</v>
      </c>
      <c r="J211" s="36" t="str">
        <f>IFERROR(__xludf.DUMMYFUNCTION("IFERROR(INDEX(FILTER('棲息地'!$B$2:$B995 &amp; "" / "" &amp; '棲息地'!$C$2:$C995, ISNUMBER(SEARCH($B211, '棲息地'!$D$2:$D995))), 2), """")"),"")</f>
        <v/>
      </c>
      <c r="K211" s="36" t="str">
        <f>IFERROR(__xludf.DUMMYFUNCTION("IFERROR(INDEX(FILTER('棲息地'!$D$2:$D995, ISNUMBER(SEARCH($B211, '棲息地'!$D$2:$D995))), 2), """")"),"")</f>
        <v/>
      </c>
      <c r="L211" s="36" t="str">
        <f>IFERROR(__xludf.DUMMYFUNCTION("IFERROR(INDEX(FILTER('棲息地'!$D$2:$D995, ISNUMBER(SEARCH($B211, '棲息地'!$D$2:$D995))), 3), """")"),"")</f>
        <v/>
      </c>
      <c r="M211" s="36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22.5" customHeight="1">
      <c r="A212" s="33" t="s">
        <v>1729</v>
      </c>
      <c r="B212" s="34" t="s">
        <v>1730</v>
      </c>
      <c r="C212" s="35" t="s">
        <v>2</v>
      </c>
      <c r="D212" s="34" t="s">
        <v>1080</v>
      </c>
      <c r="E212" s="35" t="s">
        <v>1093</v>
      </c>
      <c r="F212" s="35" t="s">
        <v>1731</v>
      </c>
      <c r="G212" s="35" t="s">
        <v>1129</v>
      </c>
      <c r="H212" s="36" t="str">
        <f>IFERROR(__xludf.DUMMYFUNCTION("IFERROR(INDEX(FILTER('棲息地'!$B$2:$B995 &amp; "" / "" &amp; '棲息地'!$C$2:$C995, ISNUMBER(SEARCH($B212, '棲息地'!$D$2:$D995))), 1), """")"),"軟綿綿的花田 / 浮島之花 ×4")</f>
        <v>軟綿綿的花田 / 浮島之花 ×4</v>
      </c>
      <c r="I212" s="36" t="str">
        <f>IFERROR(__xludf.DUMMYFUNCTION("IFERROR(INDEX(FILTER('棲息地'!$D$2:$D995, ISNUMBER(SEARCH($B212, '棲息地'!$D$2:$D995))), 1), """")"),"六尾、九尾、夢妖、夢妖魔、稚山雀")</f>
        <v>六尾、九尾、夢妖、夢妖魔、稚山雀</v>
      </c>
      <c r="J212" s="36" t="str">
        <f>IFERROR(__xludf.DUMMYFUNCTION("IFERROR(INDEX(FILTER('棲息地'!$B$2:$B995 &amp; "" / "" &amp; '棲息地'!$C$2:$C995, ISNUMBER(SEARCH($B212, '棲息地'!$D$2:$D995))), 2), """")"),"九道火焰 / 篝火 ×9")</f>
        <v>九道火焰 / 篝火 ×9</v>
      </c>
      <c r="K212" s="36" t="str">
        <f>IFERROR(__xludf.DUMMYFUNCTION("IFERROR(INDEX(FILTER('棲息地'!$D$2:$D995, ISNUMBER(SEARCH($B212, '棲息地'!$D$2:$D995))), 2), """")"),"九尾（★）")</f>
        <v>九尾（★）</v>
      </c>
      <c r="L212" s="36" t="str">
        <f>IFERROR(__xludf.DUMMYFUNCTION("IFERROR(INDEX(FILTER('棲息地'!$D$2:$D995, ISNUMBER(SEARCH($B212, '棲息地'!$D$2:$D995))), 3), """")"),"")</f>
        <v/>
      </c>
      <c r="M212" s="36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22.5" customHeight="1">
      <c r="A213" s="33" t="s">
        <v>1732</v>
      </c>
      <c r="B213" s="34" t="s">
        <v>1733</v>
      </c>
      <c r="C213" s="35" t="s">
        <v>1103</v>
      </c>
      <c r="D213" s="34" t="s">
        <v>1080</v>
      </c>
      <c r="E213" s="35" t="s">
        <v>1103</v>
      </c>
      <c r="F213" s="35" t="s">
        <v>1734</v>
      </c>
      <c r="G213" s="35" t="s">
        <v>1083</v>
      </c>
      <c r="H213" s="36" t="str">
        <f>IFERROR(__xludf.DUMMYFUNCTION("IFERROR(INDEX(FILTER('棲息地'!$B$2:$B995 &amp; "" / "" &amp; '棲息地'!$C$2:$C995, ISNUMBER(SEARCH($B213, '棲息地'!$D$2:$D995))), 1), """")"),"咻咻打掃 / 清潔套組 ×1、浴缸 ×1")</f>
        <v>咻咻打掃 / 清潔套組 ×1、浴缸 ×1</v>
      </c>
      <c r="I213" s="36" t="str">
        <f>IFERROR(__xludf.DUMMYFUNCTION("IFERROR(INDEX(FILTER('棲息地'!$D$2:$D995, ISNUMBER(SEARCH($B213, '棲息地'!$D$2:$D995))), 1), """")"),"蚊香蝌蚪（★）")</f>
        <v>蚊香蝌蚪（★）</v>
      </c>
      <c r="J213" s="36" t="str">
        <f>IFERROR(__xludf.DUMMYFUNCTION("IFERROR(INDEX(FILTER('棲息地'!$B$2:$B995 &amp; "" / "" &amp; '棲息地'!$C$2:$C995, ISNUMBER(SEARCH($B213, '棲息地'!$D$2:$D995))), 2), """")"),"")</f>
        <v/>
      </c>
      <c r="K213" s="36" t="str">
        <f>IFERROR(__xludf.DUMMYFUNCTION("IFERROR(INDEX(FILTER('棲息地'!$D$2:$D995, ISNUMBER(SEARCH($B213, '棲息地'!$D$2:$D995))), 2), """")"),"")</f>
        <v/>
      </c>
      <c r="L213" s="36" t="str">
        <f>IFERROR(__xludf.DUMMYFUNCTION("IFERROR(INDEX(FILTER('棲息地'!$D$2:$D995, ISNUMBER(SEARCH($B213, '棲息地'!$D$2:$D995))), 3), """")"),"")</f>
        <v/>
      </c>
      <c r="M213" s="36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22.5" customHeight="1">
      <c r="A214" s="33" t="s">
        <v>1735</v>
      </c>
      <c r="B214" s="34" t="s">
        <v>1736</v>
      </c>
      <c r="C214" s="35" t="s">
        <v>1103</v>
      </c>
      <c r="D214" s="34" t="s">
        <v>1080</v>
      </c>
      <c r="E214" s="35" t="s">
        <v>1103</v>
      </c>
      <c r="F214" s="35" t="s">
        <v>1737</v>
      </c>
      <c r="G214" s="35" t="s">
        <v>1125</v>
      </c>
      <c r="H214" s="36" t="str">
        <f>IFERROR(__xludf.DUMMYFUNCTION("IFERROR(INDEX(FILTER('棲息地'!$B$2:$B995 &amp; "" / "" &amp; '棲息地'!$C$2:$C995, ISNUMBER(SEARCH($B214, '棲息地'!$D$2:$D995))), 1), """")"),"花田舞台 / 岩場之花 ×4、樹樁 ×1、蘑菇燈 ×2")</f>
        <v>花田舞台 / 岩場之花 ×4、樹樁 ×1、蘑菇燈 ×2</v>
      </c>
      <c r="I214" s="36" t="str">
        <f>IFERROR(__xludf.DUMMYFUNCTION("IFERROR(INDEX(FILTER('棲息地'!$D$2:$D995, ISNUMBER(SEARCH($B214, '棲息地'!$D$2:$D995))), 1), """")"),"胖丁、寶寶丁、蚊香蛙皇")</f>
        <v>胖丁、寶寶丁、蚊香蛙皇</v>
      </c>
      <c r="J214" s="36" t="str">
        <f>IFERROR(__xludf.DUMMYFUNCTION("IFERROR(INDEX(FILTER('棲息地'!$B$2:$B995 &amp; "" / "" &amp; '棲息地'!$C$2:$C995, ISNUMBER(SEARCH($B214, '棲息地'!$D$2:$D995))), 2), """")"),"養生溫泉 / 水桶 ×1")</f>
        <v>養生溫泉 / 水桶 ×1</v>
      </c>
      <c r="K214" s="36" t="str">
        <f>IFERROR(__xludf.DUMMYFUNCTION("IFERROR(INDEX(FILTER('棲息地'!$D$2:$D995, ISNUMBER(SEARCH($B214, '棲息地'!$D$2:$D995))), 2), """")"),"蚊香蛙皇")</f>
        <v>蚊香蛙皇</v>
      </c>
      <c r="L214" s="36" t="str">
        <f>IFERROR(__xludf.DUMMYFUNCTION("IFERROR(INDEX(FILTER('棲息地'!$D$2:$D995, ISNUMBER(SEARCH($B214, '棲息地'!$D$2:$D995))), 3), """")"),"")</f>
        <v/>
      </c>
      <c r="M214" s="36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22.5" customHeight="1">
      <c r="A215" s="33" t="s">
        <v>1738</v>
      </c>
      <c r="B215" s="34" t="s">
        <v>1739</v>
      </c>
      <c r="C215" s="35" t="s">
        <v>1455</v>
      </c>
      <c r="D215" s="34" t="s">
        <v>1080</v>
      </c>
      <c r="E215" s="35" t="s">
        <v>1103</v>
      </c>
      <c r="F215" s="35" t="s">
        <v>1740</v>
      </c>
      <c r="G215" s="35" t="s">
        <v>1095</v>
      </c>
      <c r="H215" s="36" t="str">
        <f>IFERROR(__xludf.DUMMYFUNCTION("IFERROR(INDEX(FILTER('棲息地'!$B$2:$B995 &amp; "" / "" &amp; '棲息地'!$C$2:$C995, ISNUMBER(SEARCH($B215, '棲息地'!$D$2:$D995))), 1), """")"),"正在保養人孔蓋 / 掘山工具/鐵管堆/人孔蓋/三角錐 各1")</f>
        <v>正在保養人孔蓋 / 掘山工具/鐵管堆/人孔蓋/三角錐 各1</v>
      </c>
      <c r="I215" s="36" t="str">
        <f>IFERROR(__xludf.DUMMYFUNCTION("IFERROR(INDEX(FILTER('棲息地'!$D$2:$D995, ISNUMBER(SEARCH($B215, '棲息地'!$D$2:$D995))), 1), """")"),"小鍛匠（空空鎮)、鋼鎧鴉、蚊香泳士（★★）")</f>
        <v>小鍛匠（空空鎮)、鋼鎧鴉、蚊香泳士（★★）</v>
      </c>
      <c r="J215" s="36" t="str">
        <f>IFERROR(__xludf.DUMMYFUNCTION("IFERROR(INDEX(FILTER('棲息地'!$B$2:$B995 &amp; "" / "" &amp; '棲息地'!$C$2:$C995, ISNUMBER(SEARCH($B215, '棲息地'!$D$2:$D995))), 2), """")"),"在道場訓練 / 怪力岩 ×2、掛軸 ×2")</f>
        <v>在道場訓練 / 怪力岩 ×2、掛軸 ×2</v>
      </c>
      <c r="K215" s="36" t="str">
        <f>IFERROR(__xludf.DUMMYFUNCTION("IFERROR(INDEX(FILTER('棲息地'!$D$2:$D995, ISNUMBER(SEARCH($B215, '棲息地'!$D$2:$D995))), 2), """")"),"蚊香泳士（★）、艾路雷朵（★★）")</f>
        <v>蚊香泳士（★）、艾路雷朵（★★）</v>
      </c>
      <c r="L215" s="36" t="str">
        <f>IFERROR(__xludf.DUMMYFUNCTION("IFERROR(INDEX(FILTER('棲息地'!$D$2:$D995, ISNUMBER(SEARCH($B215, '棲息地'!$D$2:$D995))), 3), """")"),"")</f>
        <v/>
      </c>
      <c r="M215" s="36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22.5" customHeight="1">
      <c r="A216" s="33" t="s">
        <v>1741</v>
      </c>
      <c r="B216" s="34" t="s">
        <v>577</v>
      </c>
      <c r="C216" s="35" t="s">
        <v>1742</v>
      </c>
      <c r="D216" s="34" t="s">
        <v>1080</v>
      </c>
      <c r="E216" s="35" t="s">
        <v>1103</v>
      </c>
      <c r="F216" s="35" t="s">
        <v>1743</v>
      </c>
      <c r="G216" s="35" t="s">
        <v>1087</v>
      </c>
      <c r="H216" s="36" t="str">
        <f>IFERROR(__xludf.DUMMYFUNCTION("IFERROR(INDEX(FILTER('棲息地'!$B$2:$B995 &amp; "" / "" &amp; '棲息地'!$C$2:$C995, ISNUMBER(SEARCH($B216, '棲息地'!$D$2:$D995))), 1), """")"),"花田舞台 / 岩場之花 ×4、樹樁 ×1、蘑菇燈 ×2")</f>
        <v>花田舞台 / 岩場之花 ×4、樹樁 ×1、蘑菇燈 ×2</v>
      </c>
      <c r="I216" s="36" t="str">
        <f>IFERROR(__xludf.DUMMYFUNCTION("IFERROR(INDEX(FILTER('棲息地'!$D$2:$D995, ISNUMBER(SEARCH($B216, '棲息地'!$D$2:$D995))), 1), """")"),"胖丁、寶寶丁、蚊香蛙皇")</f>
        <v>胖丁、寶寶丁、蚊香蛙皇</v>
      </c>
      <c r="J216" s="36" t="str">
        <f>IFERROR(__xludf.DUMMYFUNCTION("IFERROR(INDEX(FILTER('棲息地'!$B$2:$B995 &amp; "" / "" &amp; '棲息地'!$C$2:$C995, ISNUMBER(SEARCH($B216, '棲息地'!$D$2:$D995))), 2), """")"),"養生溫泉 / 水桶 ×1")</f>
        <v>養生溫泉 / 水桶 ×1</v>
      </c>
      <c r="K216" s="36" t="str">
        <f>IFERROR(__xludf.DUMMYFUNCTION("IFERROR(INDEX(FILTER('棲息地'!$D$2:$D995, ISNUMBER(SEARCH($B216, '棲息地'!$D$2:$D995))), 2), """")"),"蚊香蛙皇")</f>
        <v>蚊香蛙皇</v>
      </c>
      <c r="L216" s="36" t="str">
        <f>IFERROR(__xludf.DUMMYFUNCTION("IFERROR(INDEX(FILTER('棲息地'!$D$2:$D995, ISNUMBER(SEARCH($B216, '棲息地'!$D$2:$D995))), 3), """")"),"")</f>
        <v/>
      </c>
      <c r="M216" s="36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22.5" customHeight="1">
      <c r="A217" s="33" t="s">
        <v>1744</v>
      </c>
      <c r="B217" s="34" t="s">
        <v>1745</v>
      </c>
      <c r="C217" s="35" t="s">
        <v>1746</v>
      </c>
      <c r="D217" s="34" t="s">
        <v>1080</v>
      </c>
      <c r="E217" s="35" t="s">
        <v>1200</v>
      </c>
      <c r="F217" s="35" t="s">
        <v>1747</v>
      </c>
      <c r="G217" s="35" t="s">
        <v>1129</v>
      </c>
      <c r="H217" s="36" t="str">
        <f>IFERROR(__xludf.DUMMYFUNCTION("IFERROR(INDEX(FILTER('棲息地'!$B$2:$B995 &amp; "" / "" &amp; '棲息地'!$C$2:$C995, ISNUMBER(SEARCH($B217, '棲息地'!$D$2:$D995))), 1), """")"),"水晶占卜 / 椅子 ×2、桌子 ×1")</f>
        <v>水晶占卜 / 椅子 ×2、桌子 ×1</v>
      </c>
      <c r="I217" s="36" t="str">
        <f>IFERROR(__xludf.DUMMYFUNCTION("IFERROR(INDEX(FILTER('棲息地'!$D$2:$D995, ISNUMBER(SEARCH($B217, '棲息地'!$D$2:$D995))), 1), """")"),"凱西、勇基拉")</f>
        <v>凱西、勇基拉</v>
      </c>
      <c r="J217" s="36" t="str">
        <f>IFERROR(__xludf.DUMMYFUNCTION("IFERROR(INDEX(FILTER('棲息地'!$B$2:$B995 &amp; "" / "" &amp; '棲息地'!$C$2:$C995, ISNUMBER(SEARCH($B217, '棲息地'!$D$2:$D995))), 2), """")"),"")</f>
        <v/>
      </c>
      <c r="K217" s="36" t="str">
        <f>IFERROR(__xludf.DUMMYFUNCTION("IFERROR(INDEX(FILTER('棲息地'!$D$2:$D995, ISNUMBER(SEARCH($B217, '棲息地'!$D$2:$D995))), 2), """")"),"")</f>
        <v/>
      </c>
      <c r="L217" s="36" t="str">
        <f>IFERROR(__xludf.DUMMYFUNCTION("IFERROR(INDEX(FILTER('棲息地'!$D$2:$D995, ISNUMBER(SEARCH($B217, '棲息地'!$D$2:$D995))), 3), """")"),"")</f>
        <v/>
      </c>
      <c r="M217" s="36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22.5" customHeight="1">
      <c r="A218" s="33" t="s">
        <v>1748</v>
      </c>
      <c r="B218" s="34" t="s">
        <v>1749</v>
      </c>
      <c r="C218" s="35" t="s">
        <v>1746</v>
      </c>
      <c r="D218" s="34" t="s">
        <v>1080</v>
      </c>
      <c r="E218" s="35" t="s">
        <v>1200</v>
      </c>
      <c r="F218" s="35" t="s">
        <v>1750</v>
      </c>
      <c r="G218" s="35" t="s">
        <v>1129</v>
      </c>
      <c r="H218" s="36" t="str">
        <f>IFERROR(__xludf.DUMMYFUNCTION("IFERROR(INDEX(FILTER('棲息地'!$B$2:$B995 &amp; "" / "" &amp; '棲息地'!$C$2:$C995, ISNUMBER(SEARCH($B218, '棲息地'!$D$2:$D995))), 1), """")"),"水晶占卜 / 椅子 ×2、桌子 ×1")</f>
        <v>水晶占卜 / 椅子 ×2、桌子 ×1</v>
      </c>
      <c r="I218" s="36" t="str">
        <f>IFERROR(__xludf.DUMMYFUNCTION("IFERROR(INDEX(FILTER('棲息地'!$D$2:$D995, ISNUMBER(SEARCH($B218, '棲息地'!$D$2:$D995))), 1), """")"),"凱西、勇基拉")</f>
        <v>凱西、勇基拉</v>
      </c>
      <c r="J218" s="36" t="str">
        <f>IFERROR(__xludf.DUMMYFUNCTION("IFERROR(INDEX(FILTER('棲息地'!$B$2:$B995 &amp; "" / "" &amp; '棲息地'!$C$2:$C995, ISNUMBER(SEARCH($B218, '棲息地'!$D$2:$D995))), 2), """")"),"")</f>
        <v/>
      </c>
      <c r="K218" s="36" t="str">
        <f>IFERROR(__xludf.DUMMYFUNCTION("IFERROR(INDEX(FILTER('棲息地'!$D$2:$D995, ISNUMBER(SEARCH($B218, '棲息地'!$D$2:$D995))), 2), """")"),"")</f>
        <v/>
      </c>
      <c r="L218" s="36" t="str">
        <f>IFERROR(__xludf.DUMMYFUNCTION("IFERROR(INDEX(FILTER('棲息地'!$D$2:$D995, ISNUMBER(SEARCH($B218, '棲息地'!$D$2:$D995))), 3), """")"),"")</f>
        <v/>
      </c>
      <c r="M218" s="36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22.5" customHeight="1">
      <c r="A219" s="33" t="s">
        <v>1751</v>
      </c>
      <c r="B219" s="34" t="s">
        <v>758</v>
      </c>
      <c r="C219" s="35" t="s">
        <v>1752</v>
      </c>
      <c r="D219" s="34" t="s">
        <v>1080</v>
      </c>
      <c r="E219" s="35" t="s">
        <v>1200</v>
      </c>
      <c r="F219" s="35" t="s">
        <v>1753</v>
      </c>
      <c r="G219" s="35" t="s">
        <v>1125</v>
      </c>
      <c r="H219" s="36" t="str">
        <f>IFERROR(__xludf.DUMMYFUNCTION("IFERROR(INDEX(FILTER('棲息地'!$B$2:$B995 &amp; "" / "" &amp; '棲息地'!$C$2:$C995, ISNUMBER(SEARCH($B219, '棲息地'!$D$2:$D995))), 1), """")"),"滿溢的超能力 / (超能場地)")</f>
        <v>滿溢的超能力 / (超能場地)</v>
      </c>
      <c r="I219" s="36" t="str">
        <f>IFERROR(__xludf.DUMMYFUNCTION("IFERROR(INDEX(FILTER('棲息地'!$D$2:$D995, ISNUMBER(SEARCH($B219, '棲息地'!$D$2:$D995))), 1), """")"),"胡地")</f>
        <v>胡地</v>
      </c>
      <c r="J219" s="36" t="str">
        <f>IFERROR(__xludf.DUMMYFUNCTION("IFERROR(INDEX(FILTER('棲息地'!$B$2:$B995 &amp; "" / "" &amp; '棲息地'!$C$2:$C995, ISNUMBER(SEARCH($B219, '棲息地'!$D$2:$D995))), 2), """")"),"實驗空間 / 實驗套組 ×1、顯微鏡 ×1、論文 ×1")</f>
        <v>實驗空間 / 實驗套組 ×1、顯微鏡 ×1、論文 ×1</v>
      </c>
      <c r="K219" s="36" t="str">
        <f>IFERROR(__xludf.DUMMYFUNCTION("IFERROR(INDEX(FILTER('棲息地'!$D$2:$D995, ISNUMBER(SEARCH($B219, '棲息地'!$D$2:$D995))), 2), """")"),"胡地（★）")</f>
        <v>胡地（★）</v>
      </c>
      <c r="L219" s="36" t="str">
        <f>IFERROR(__xludf.DUMMYFUNCTION("IFERROR(INDEX(FILTER('棲息地'!$D$2:$D995, ISNUMBER(SEARCH($B219, '棲息地'!$D$2:$D995))), 3), """")"),"")</f>
        <v/>
      </c>
      <c r="M219" s="36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22.5" customHeight="1">
      <c r="A220" s="33" t="s">
        <v>1754</v>
      </c>
      <c r="B220" s="34" t="s">
        <v>1755</v>
      </c>
      <c r="C220" s="35" t="s">
        <v>1517</v>
      </c>
      <c r="D220" s="34" t="s">
        <v>1080</v>
      </c>
      <c r="E220" s="35" t="s">
        <v>1081</v>
      </c>
      <c r="F220" s="35" t="s">
        <v>1756</v>
      </c>
      <c r="G220" s="35" t="s">
        <v>1083</v>
      </c>
      <c r="H220" s="36" t="str">
        <f>IFERROR(__xludf.DUMMYFUNCTION("IFERROR(INDEX(FILTER('棲息地'!$B$2:$B995 &amp; "" / "" &amp; '棲息地'!$C$2:$C995, ISNUMBER(SEARCH($B220, '棲息地'!$D$2:$D995))), 1), """")"),"歡迎閱讀 / 塞滿的書架 ×1、報紙 ×1")</f>
        <v>歡迎閱讀 / 塞滿的書架 ×1、報紙 ×1</v>
      </c>
      <c r="I220" s="36" t="str">
        <f>IFERROR(__xludf.DUMMYFUNCTION("IFERROR(INDEX(FILTER('棲息地'!$D$2:$D995, ISNUMBER(SEARCH($B220, '棲息地'!$D$2:$D995))), 1), """")"),"魔尼尼（★）、君主蛇（★★）")</f>
        <v>魔尼尼（★）、君主蛇（★★）</v>
      </c>
      <c r="J220" s="36" t="str">
        <f>IFERROR(__xludf.DUMMYFUNCTION("IFERROR(INDEX(FILTER('棲息地'!$B$2:$B995 &amp; "" / "" &amp; '棲息地'!$C$2:$C995, ISNUMBER(SEARCH($B220, '棲息地'!$D$2:$D995))), 2), """")"),"")</f>
        <v/>
      </c>
      <c r="K220" s="36" t="str">
        <f>IFERROR(__xludf.DUMMYFUNCTION("IFERROR(INDEX(FILTER('棲息地'!$D$2:$D995, ISNUMBER(SEARCH($B220, '棲息地'!$D$2:$D995))), 2), """")"),"")</f>
        <v/>
      </c>
      <c r="L220" s="36" t="str">
        <f>IFERROR(__xludf.DUMMYFUNCTION("IFERROR(INDEX(FILTER('棲息地'!$D$2:$D995, ISNUMBER(SEARCH($B220, '棲息地'!$D$2:$D995))), 3), """")"),"")</f>
        <v/>
      </c>
      <c r="M220" s="36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22.5" customHeight="1">
      <c r="A221" s="33" t="s">
        <v>1757</v>
      </c>
      <c r="B221" s="34" t="s">
        <v>788</v>
      </c>
      <c r="C221" s="35" t="s">
        <v>1578</v>
      </c>
      <c r="D221" s="34" t="s">
        <v>1080</v>
      </c>
      <c r="E221" s="35" t="s">
        <v>1081</v>
      </c>
      <c r="F221" s="35" t="s">
        <v>1758</v>
      </c>
      <c r="G221" s="35" t="s">
        <v>1125</v>
      </c>
      <c r="H221" s="36" t="str">
        <f>IFERROR(__xludf.DUMMYFUNCTION("IFERROR(INDEX(FILTER('棲息地'!$B$2:$B995 &amp; "" / "" &amp; '棲息地'!$C$2:$C995, ISNUMBER(SEARCH($B221, '棲息地'!$D$2:$D995))), 1), """")"),"亮晶晶洗手台 / 壁掛鏡 ×1")</f>
        <v>亮晶晶洗手台 / 壁掛鏡 ×1</v>
      </c>
      <c r="I221" s="36" t="str">
        <f>IFERROR(__xludf.DUMMYFUNCTION("IFERROR(INDEX(FILTER('棲息地'!$D$2:$D995, ISNUMBER(SEARCH($B221, '棲息地'!$D$2:$D995))), 1), """")"),"魔牆人偶")</f>
        <v>魔牆人偶</v>
      </c>
      <c r="J221" s="36" t="str">
        <f>IFERROR(__xludf.DUMMYFUNCTION("IFERROR(INDEX(FILTER('棲息地'!$B$2:$B995 &amp; "" / "" &amp; '棲息地'!$C$2:$C995, ISNUMBER(SEARCH($B221, '棲息地'!$D$2:$D995))), 2), """")"),"")</f>
        <v/>
      </c>
      <c r="K221" s="36" t="str">
        <f>IFERROR(__xludf.DUMMYFUNCTION("IFERROR(INDEX(FILTER('棲息地'!$D$2:$D995, ISNUMBER(SEARCH($B221, '棲息地'!$D$2:$D995))), 2), """")"),"")</f>
        <v/>
      </c>
      <c r="L221" s="36" t="str">
        <f>IFERROR(__xludf.DUMMYFUNCTION("IFERROR(INDEX(FILTER('棲息地'!$D$2:$D995, ISNUMBER(SEARCH($B221, '棲息地'!$D$2:$D995))), 3), """")"),"")</f>
        <v/>
      </c>
      <c r="M221" s="36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22.5" customHeight="1">
      <c r="A222" s="33" t="s">
        <v>1759</v>
      </c>
      <c r="B222" s="34" t="s">
        <v>852</v>
      </c>
      <c r="C222" s="35" t="s">
        <v>1199</v>
      </c>
      <c r="D222" s="34" t="s">
        <v>1080</v>
      </c>
      <c r="E222" s="35" t="s">
        <v>1081</v>
      </c>
      <c r="F222" s="35" t="s">
        <v>1760</v>
      </c>
      <c r="G222" s="35" t="s">
        <v>1125</v>
      </c>
      <c r="H222" s="36" t="str">
        <f>IFERROR(__xludf.DUMMYFUNCTION("IFERROR(INDEX(FILTER('棲息地'!$B$2:$B995 &amp; "" / "" &amp; '棲息地'!$C$2:$C995, ISNUMBER(SEARCH($B222, '棲息地'!$D$2:$D995))), 1), """")"),"遊戲連線對戰 / 椅子 ×2、遊戲街機 ×2")</f>
        <v>遊戲連線對戰 / 椅子 ×2、遊戲街機 ×2</v>
      </c>
      <c r="I222" s="36" t="str">
        <f>IFERROR(__xludf.DUMMYFUNCTION("IFERROR(INDEX(FILTER('棲息地'!$D$2:$D995, ISNUMBER(SEARCH($B222, '棲息地'!$D$2:$D995))), 1), """")"),"多邊獸Z（★）")</f>
        <v>多邊獸Z（★）</v>
      </c>
      <c r="J222" s="36" t="str">
        <f>IFERROR(__xludf.DUMMYFUNCTION("IFERROR(INDEX(FILTER('棲息地'!$B$2:$B995 &amp; "" / "" &amp; '棲息地'!$C$2:$C995, ISNUMBER(SEARCH($B222, '棲息地'!$D$2:$D995))), 2), """")"),"辦公桌 / 電腦 ×1、馬克杯 ×1、辦公桌/椅 各1")</f>
        <v>辦公桌 / 電腦 ×1、馬克杯 ×1、辦公桌/椅 各1</v>
      </c>
      <c r="K222" s="36" t="str">
        <f>IFERROR(__xludf.DUMMYFUNCTION("IFERROR(INDEX(FILTER('棲息地'!$D$2:$D995, ISNUMBER(SEARCH($B222, '棲息地'!$D$2:$D995))), 2), """")"),"多邊獸2（★）")</f>
        <v>多邊獸2（★）</v>
      </c>
      <c r="L222" s="36" t="str">
        <f>IFERROR(__xludf.DUMMYFUNCTION("IFERROR(INDEX(FILTER('棲息地'!$D$2:$D995, ISNUMBER(SEARCH($B222, '棲息地'!$D$2:$D995))), 3), """")"),"多邊獸")</f>
        <v>多邊獸</v>
      </c>
      <c r="M222" s="36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22.5" customHeight="1">
      <c r="A223" s="33" t="s">
        <v>1761</v>
      </c>
      <c r="B223" s="34" t="s">
        <v>1762</v>
      </c>
      <c r="C223" s="35" t="s">
        <v>1199</v>
      </c>
      <c r="D223" s="34" t="s">
        <v>1080</v>
      </c>
      <c r="E223" s="35" t="s">
        <v>1081</v>
      </c>
      <c r="F223" s="35" t="s">
        <v>1763</v>
      </c>
      <c r="G223" s="35" t="s">
        <v>1087</v>
      </c>
      <c r="H223" s="36" t="str">
        <f>IFERROR(__xludf.DUMMYFUNCTION("IFERROR(INDEX(FILTER('棲息地'!$B$2:$B995 &amp; "" / "" &amp; '棲息地'!$C$2:$C995, ISNUMBER(SEARCH($B223, '棲息地'!$D$2:$D995))), 1), """")"),"辦公桌 / 電腦 ×1、馬克杯 ×1、辦公桌/椅 各1")</f>
        <v>辦公桌 / 電腦 ×1、馬克杯 ×1、辦公桌/椅 各1</v>
      </c>
      <c r="I223" s="36" t="str">
        <f>IFERROR(__xludf.DUMMYFUNCTION("IFERROR(INDEX(FILTER('棲息地'!$D$2:$D995, ISNUMBER(SEARCH($B223, '棲息地'!$D$2:$D995))), 1), """")"),"多邊獸2（★）")</f>
        <v>多邊獸2（★）</v>
      </c>
      <c r="J223" s="36" t="str">
        <f>IFERROR(__xludf.DUMMYFUNCTION("IFERROR(INDEX(FILTER('棲息地'!$B$2:$B995 &amp; "" / "" &amp; '棲息地'!$C$2:$C995, ISNUMBER(SEARCH($B223, '棲息地'!$D$2:$D995))), 2), """")"),"")</f>
        <v/>
      </c>
      <c r="K223" s="36" t="str">
        <f>IFERROR(__xludf.DUMMYFUNCTION("IFERROR(INDEX(FILTER('棲息地'!$D$2:$D995, ISNUMBER(SEARCH($B223, '棲息地'!$D$2:$D995))), 2), """")"),"")</f>
        <v/>
      </c>
      <c r="L223" s="36" t="str">
        <f>IFERROR(__xludf.DUMMYFUNCTION("IFERROR(INDEX(FILTER('棲息地'!$D$2:$D995, ISNUMBER(SEARCH($B223, '棲息地'!$D$2:$D995))), 3), """")"),"")</f>
        <v/>
      </c>
      <c r="M223" s="36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22.5" customHeight="1">
      <c r="A224" s="33" t="s">
        <v>1764</v>
      </c>
      <c r="B224" s="34" t="s">
        <v>1765</v>
      </c>
      <c r="C224" s="35" t="s">
        <v>1766</v>
      </c>
      <c r="D224" s="34" t="s">
        <v>1080</v>
      </c>
      <c r="E224" s="35" t="s">
        <v>1081</v>
      </c>
      <c r="F224" s="35" t="s">
        <v>1767</v>
      </c>
      <c r="G224" s="35" t="s">
        <v>1129</v>
      </c>
      <c r="H224" s="36" t="str">
        <f>IFERROR(__xludf.DUMMYFUNCTION("IFERROR(INDEX(FILTER('棲息地'!$B$2:$B995 &amp; "" / "" &amp; '棲息地'!$C$2:$C995, ISNUMBER(SEARCH($B224, '棲息地'!$D$2:$D995))), 1), """")"),"遊戲連線對戰 / 椅子 ×2、遊戲街機 ×2")</f>
        <v>遊戲連線對戰 / 椅子 ×2、遊戲街機 ×2</v>
      </c>
      <c r="I224" s="36" t="str">
        <f>IFERROR(__xludf.DUMMYFUNCTION("IFERROR(INDEX(FILTER('棲息地'!$D$2:$D995, ISNUMBER(SEARCH($B224, '棲息地'!$D$2:$D995))), 1), """")"),"多邊獸Z（★）")</f>
        <v>多邊獸Z（★）</v>
      </c>
      <c r="J224" s="36" t="str">
        <f>IFERROR(__xludf.DUMMYFUNCTION("IFERROR(INDEX(FILTER('棲息地'!$B$2:$B995 &amp; "" / "" &amp; '棲息地'!$C$2:$C995, ISNUMBER(SEARCH($B224, '棲息地'!$D$2:$D995))), 2), """")"),"")</f>
        <v/>
      </c>
      <c r="K224" s="36" t="str">
        <f>IFERROR(__xludf.DUMMYFUNCTION("IFERROR(INDEX(FILTER('棲息地'!$D$2:$D995, ISNUMBER(SEARCH($B224, '棲息地'!$D$2:$D995))), 2), """")"),"")</f>
        <v/>
      </c>
      <c r="L224" s="36" t="str">
        <f>IFERROR(__xludf.DUMMYFUNCTION("IFERROR(INDEX(FILTER('棲息地'!$D$2:$D995, ISNUMBER(SEARCH($B224, '棲息地'!$D$2:$D995))), 3), """")"),"")</f>
        <v/>
      </c>
      <c r="M224" s="36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22.5" customHeight="1">
      <c r="A225" s="33" t="s">
        <v>1768</v>
      </c>
      <c r="B225" s="34" t="s">
        <v>723</v>
      </c>
      <c r="C225" s="35" t="s">
        <v>1103</v>
      </c>
      <c r="D225" s="34" t="s">
        <v>1080</v>
      </c>
      <c r="E225" s="35" t="s">
        <v>1103</v>
      </c>
      <c r="F225" s="35" t="s">
        <v>1769</v>
      </c>
      <c r="G225" s="35" t="s">
        <v>1083</v>
      </c>
      <c r="H225" s="36" t="str">
        <f>IFERROR(__xludf.DUMMYFUNCTION("IFERROR(INDEX(FILTER('棲息地'!$B$2:$B995 &amp; "" / "" &amp; '棲息地'!$C$2:$C995, ISNUMBER(SEARCH($B225, '棲息地'!$D$2:$D995))), 1), """")"),"濕潤的軟綿綿花田 / 浮島之花 ×4、水 ×2")</f>
        <v>濕潤的軟綿綿花田 / 浮島之花 ×4、水 ×2</v>
      </c>
      <c r="I225" s="36" t="str">
        <f>IFERROR(__xludf.DUMMYFUNCTION("IFERROR(INDEX(FILTER('棲息地'!$D$2:$D995, ISNUMBER(SEARCH($B225, '棲息地'!$D$2:$D995))), 1), """")"),"迷你龍")</f>
        <v>迷你龍</v>
      </c>
      <c r="J225" s="36" t="str">
        <f>IFERROR(__xludf.DUMMYFUNCTION("IFERROR(INDEX(FILTER('棲息地'!$B$2:$B995 &amp; "" / "" &amp; '棲息地'!$C$2:$C995, ISNUMBER(SEARCH($B225, '棲息地'!$D$2:$D995))), 2), """")"),"簡約浴室 / (浴室組)")</f>
        <v>簡約浴室 / (浴室組)</v>
      </c>
      <c r="K225" s="36" t="str">
        <f>IFERROR(__xludf.DUMMYFUNCTION("IFERROR(INDEX(FILTER('棲息地'!$D$2:$D995, ISNUMBER(SEARCH($B225, '棲息地'!$D$2:$D995))), 2), """")"),"迷你龍、哈克龍")</f>
        <v>迷你龍、哈克龍</v>
      </c>
      <c r="L225" s="36" t="str">
        <f>IFERROR(__xludf.DUMMYFUNCTION("IFERROR(INDEX(FILTER('棲息地'!$D$2:$D995, ISNUMBER(SEARCH($B225, '棲息地'!$D$2:$D995))), 3), """")"),"")</f>
        <v/>
      </c>
      <c r="M225" s="36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22.5" customHeight="1">
      <c r="A226" s="33" t="s">
        <v>1770</v>
      </c>
      <c r="B226" s="34" t="s">
        <v>1771</v>
      </c>
      <c r="C226" s="35" t="s">
        <v>1103</v>
      </c>
      <c r="D226" s="34" t="s">
        <v>1080</v>
      </c>
      <c r="E226" s="35" t="s">
        <v>1103</v>
      </c>
      <c r="F226" s="35" t="s">
        <v>1772</v>
      </c>
      <c r="G226" s="35" t="s">
        <v>1083</v>
      </c>
      <c r="H226" s="36" t="str">
        <f>IFERROR(__xludf.DUMMYFUNCTION("IFERROR(INDEX(FILTER('棲息地'!$B$2:$B995 &amp; "" / "" &amp; '棲息地'!$C$2:$C995, ISNUMBER(SEARCH($B226, '棲息地'!$D$2:$D995))), 1), """")"),"簡約浴室 / (浴室組)")</f>
        <v>簡約浴室 / (浴室組)</v>
      </c>
      <c r="I226" s="36" t="str">
        <f>IFERROR(__xludf.DUMMYFUNCTION("IFERROR(INDEX(FILTER('棲息地'!$D$2:$D995, ISNUMBER(SEARCH($B226, '棲息地'!$D$2:$D995))), 1), """")"),"迷你龍、哈克龍")</f>
        <v>迷你龍、哈克龍</v>
      </c>
      <c r="J226" s="36" t="str">
        <f>IFERROR(__xludf.DUMMYFUNCTION("IFERROR(INDEX(FILTER('棲息地'!$B$2:$B995 &amp; "" / "" &amp; '棲息地'!$C$2:$C995, ISNUMBER(SEARCH($B226, '棲息地'!$D$2:$D995))), 2), """")"),"")</f>
        <v/>
      </c>
      <c r="K226" s="36" t="str">
        <f>IFERROR(__xludf.DUMMYFUNCTION("IFERROR(INDEX(FILTER('棲息地'!$D$2:$D995, ISNUMBER(SEARCH($B226, '棲息地'!$D$2:$D995))), 2), """")"),"")</f>
        <v/>
      </c>
      <c r="L226" s="36" t="str">
        <f>IFERROR(__xludf.DUMMYFUNCTION("IFERROR(INDEX(FILTER('棲息地'!$D$2:$D995, ISNUMBER(SEARCH($B226, '棲息地'!$D$2:$D995))), 3), """")"),"")</f>
        <v/>
      </c>
      <c r="M226" s="36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22.5" customHeight="1">
      <c r="A227" s="33" t="s">
        <v>1773</v>
      </c>
      <c r="B227" s="34" t="s">
        <v>728</v>
      </c>
      <c r="C227" s="35" t="s">
        <v>1328</v>
      </c>
      <c r="D227" s="34" t="s">
        <v>1080</v>
      </c>
      <c r="E227" s="35" t="s">
        <v>1103</v>
      </c>
      <c r="F227" s="35" t="s">
        <v>1774</v>
      </c>
      <c r="G227" s="35" t="s">
        <v>1129</v>
      </c>
      <c r="H227" s="36" t="str">
        <f>IFERROR(__xludf.DUMMYFUNCTION("IFERROR(INDEX(FILTER('棲息地'!$B$2:$B995 &amp; "" / "" &amp; '棲息地'!$C$2:$C995, ISNUMBER(SEARCH($B227, '棲息地'!$D$2:$D995))), 1), """")"),"水邊小船 / 浮萍 ×2、水 ×2")</f>
        <v>水邊小船 / 浮萍 ×2、水 ×2</v>
      </c>
      <c r="I227" s="36" t="str">
        <f>IFERROR(__xludf.DUMMYFUNCTION("IFERROR(INDEX(FILTER('棲息地'!$D$2:$D995, ISNUMBER(SEARCH($B227, '棲息地'!$D$2:$D995))), 1), """")"),"快龍")</f>
        <v>快龍</v>
      </c>
      <c r="J227" s="36" t="str">
        <f>IFERROR(__xludf.DUMMYFUNCTION("IFERROR(INDEX(FILTER('棲息地'!$B$2:$B995 &amp; "" / "" &amp; '棲息地'!$C$2:$C995, ISNUMBER(SEARCH($B227, '棲息地'!$D$2:$D995))), 2), """")"),"")</f>
        <v/>
      </c>
      <c r="K227" s="36" t="str">
        <f>IFERROR(__xludf.DUMMYFUNCTION("IFERROR(INDEX(FILTER('棲息地'!$D$2:$D995, ISNUMBER(SEARCH($B227, '棲息地'!$D$2:$D995))), 2), """")"),"")</f>
        <v/>
      </c>
      <c r="L227" s="36" t="str">
        <f>IFERROR(__xludf.DUMMYFUNCTION("IFERROR(INDEX(FILTER('棲息地'!$D$2:$D995, ISNUMBER(SEARCH($B227, '棲息地'!$D$2:$D995))), 3), """")"),"")</f>
        <v/>
      </c>
      <c r="M227" s="36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22.5" customHeight="1">
      <c r="A228" s="33" t="s">
        <v>1775</v>
      </c>
      <c r="B228" s="34" t="s">
        <v>1776</v>
      </c>
      <c r="C228" s="35" t="s">
        <v>2</v>
      </c>
      <c r="D228" s="34" t="s">
        <v>1080</v>
      </c>
      <c r="E228" s="35" t="s">
        <v>1093</v>
      </c>
      <c r="F228" s="35" t="s">
        <v>1777</v>
      </c>
      <c r="G228" s="35" t="s">
        <v>1083</v>
      </c>
      <c r="H228" s="36" t="str">
        <f>IFERROR(__xludf.DUMMYFUNCTION("IFERROR(INDEX(FILTER('棲息地'!$B$2:$B995 &amp; "" / "" &amp; '棲息地'!$C$2:$C995, ISNUMBER(SEARCH($B228, '棲息地'!$D$2:$D995))), 1), """")"),"水管秘密基地 / 水管 ×3、草叢(任意) ×4")</f>
        <v>水管秘密基地 / 水管 ×3、草叢(任意) ×4</v>
      </c>
      <c r="I228" s="36" t="str">
        <f>IFERROR(__xludf.DUMMYFUNCTION("IFERROR(INDEX(FILTER('棲息地'!$D$2:$D995, ISNUMBER(SEARCH($B228, '棲息地'!$D$2:$D995))), 1), """")"),"火球鼠、火岩鼠")</f>
        <v>火球鼠、火岩鼠</v>
      </c>
      <c r="J228" s="36" t="str">
        <f>IFERROR(__xludf.DUMMYFUNCTION("IFERROR(INDEX(FILTER('棲息地'!$B$2:$B995 &amp; "" / "" &amp; '棲息地'!$C$2:$C995, ISNUMBER(SEARCH($B228, '棲息地'!$D$2:$D995))), 2), """")"),"")</f>
        <v/>
      </c>
      <c r="K228" s="36" t="str">
        <f>IFERROR(__xludf.DUMMYFUNCTION("IFERROR(INDEX(FILTER('棲息地'!$D$2:$D995, ISNUMBER(SEARCH($B228, '棲息地'!$D$2:$D995))), 2), """")"),"")</f>
        <v/>
      </c>
      <c r="L228" s="36" t="str">
        <f>IFERROR(__xludf.DUMMYFUNCTION("IFERROR(INDEX(FILTER('棲息地'!$D$2:$D995, ISNUMBER(SEARCH($B228, '棲息地'!$D$2:$D995))), 3), """")"),"")</f>
        <v/>
      </c>
      <c r="M228" s="36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22.5" customHeight="1">
      <c r="A229" s="33" t="s">
        <v>1778</v>
      </c>
      <c r="B229" s="34" t="s">
        <v>1779</v>
      </c>
      <c r="C229" s="35" t="s">
        <v>2</v>
      </c>
      <c r="D229" s="34" t="s">
        <v>1080</v>
      </c>
      <c r="E229" s="35" t="s">
        <v>1093</v>
      </c>
      <c r="F229" s="35" t="s">
        <v>1777</v>
      </c>
      <c r="G229" s="35" t="s">
        <v>1083</v>
      </c>
      <c r="H229" s="36" t="str">
        <f>IFERROR(__xludf.DUMMYFUNCTION("IFERROR(INDEX(FILTER('棲息地'!$B$2:$B995 &amp; "" / "" &amp; '棲息地'!$C$2:$C995, ISNUMBER(SEARCH($B229, '棲息地'!$D$2:$D995))), 1), """")"),"水管秘密基地 / 水管 ×3、草叢(任意) ×4")</f>
        <v>水管秘密基地 / 水管 ×3、草叢(任意) ×4</v>
      </c>
      <c r="I229" s="36" t="str">
        <f>IFERROR(__xludf.DUMMYFUNCTION("IFERROR(INDEX(FILTER('棲息地'!$D$2:$D995, ISNUMBER(SEARCH($B229, '棲息地'!$D$2:$D995))), 1), """")"),"火球鼠、火岩鼠")</f>
        <v>火球鼠、火岩鼠</v>
      </c>
      <c r="J229" s="36" t="str">
        <f>IFERROR(__xludf.DUMMYFUNCTION("IFERROR(INDEX(FILTER('棲息地'!$B$2:$B995 &amp; "" / "" &amp; '棲息地'!$C$2:$C995, ISNUMBER(SEARCH($B229, '棲息地'!$D$2:$D995))), 2), """")"),"暖爐旁打盹 / 石製壁爐 ×1、椅子(長條) ×1")</f>
        <v>暖爐旁打盹 / 石製壁爐 ×1、椅子(長條) ×1</v>
      </c>
      <c r="K229" s="36" t="str">
        <f>IFERROR(__xludf.DUMMYFUNCTION("IFERROR(INDEX(FILTER('棲息地'!$D$2:$D995, ISNUMBER(SEARCH($B229, '棲息地'!$D$2:$D995))), 2), """")"),"火岩鼠、火爆獸")</f>
        <v>火岩鼠、火爆獸</v>
      </c>
      <c r="L229" s="36" t="str">
        <f>IFERROR(__xludf.DUMMYFUNCTION("IFERROR(INDEX(FILTER('棲息地'!$D$2:$D995, ISNUMBER(SEARCH($B229, '棲息地'!$D$2:$D995))), 3), """")"),"")</f>
        <v/>
      </c>
      <c r="M229" s="36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22.5" customHeight="1">
      <c r="A230" s="33" t="s">
        <v>1780</v>
      </c>
      <c r="B230" s="34" t="s">
        <v>1781</v>
      </c>
      <c r="C230" s="35" t="s">
        <v>1712</v>
      </c>
      <c r="D230" s="34" t="s">
        <v>1080</v>
      </c>
      <c r="E230" s="35" t="s">
        <v>1093</v>
      </c>
      <c r="F230" s="35" t="s">
        <v>1777</v>
      </c>
      <c r="G230" s="35" t="s">
        <v>1129</v>
      </c>
      <c r="H230" s="36" t="str">
        <f>IFERROR(__xludf.DUMMYFUNCTION("IFERROR(INDEX(FILTER('棲息地'!$B$2:$B995 &amp; "" / "" &amp; '棲息地'!$C$2:$C995, ISNUMBER(SEARCH($B230, '棲息地'!$D$2:$D995))), 1), """")"),"暖爐旁打盹 / 石製壁爐 ×1、椅子(長條) ×1")</f>
        <v>暖爐旁打盹 / 石製壁爐 ×1、椅子(長條) ×1</v>
      </c>
      <c r="I230" s="36" t="str">
        <f>IFERROR(__xludf.DUMMYFUNCTION("IFERROR(INDEX(FILTER('棲息地'!$D$2:$D995, ISNUMBER(SEARCH($B230, '棲息地'!$D$2:$D995))), 1), """")"),"火岩鼠、火爆獸")</f>
        <v>火岩鼠、火爆獸</v>
      </c>
      <c r="J230" s="36" t="str">
        <f>IFERROR(__xludf.DUMMYFUNCTION("IFERROR(INDEX(FILTER('棲息地'!$B$2:$B995 &amp; "" / "" &amp; '棲息地'!$C$2:$C995, ISNUMBER(SEARCH($B230, '棲息地'!$D$2:$D995))), 2), """")"),"流行潮流 / 流行床/桌/沙發 各1")</f>
        <v>流行潮流 / 流行床/桌/沙發 各1</v>
      </c>
      <c r="K230" s="36" t="str">
        <f>IFERROR(__xludf.DUMMYFUNCTION("IFERROR(INDEX(FILTER('棲息地'!$D$2:$D995, ISNUMBER(SEARCH($B230, '棲息地'!$D$2:$D995))), 2), """")"),"火爆獸（★）")</f>
        <v>火爆獸（★）</v>
      </c>
      <c r="L230" s="36" t="str">
        <f>IFERROR(__xludf.DUMMYFUNCTION("IFERROR(INDEX(FILTER('棲息地'!$D$2:$D995, ISNUMBER(SEARCH($B230, '棲息地'!$D$2:$D995))), 3), """")"),"")</f>
        <v/>
      </c>
      <c r="M230" s="36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22.5" customHeight="1">
      <c r="A231" s="33" t="s">
        <v>1782</v>
      </c>
      <c r="B231" s="34" t="s">
        <v>1783</v>
      </c>
      <c r="C231" s="35" t="s">
        <v>1192</v>
      </c>
      <c r="D231" s="34" t="s">
        <v>1080</v>
      </c>
      <c r="E231" s="35" t="s">
        <v>1200</v>
      </c>
      <c r="F231" s="35" t="s">
        <v>1784</v>
      </c>
      <c r="G231" s="35" t="s">
        <v>1129</v>
      </c>
      <c r="H231" s="36" t="str">
        <f>IFERROR(__xludf.DUMMYFUNCTION("IFERROR(INDEX(FILTER('棲息地'!$B$2:$B995 &amp; "" / "" &amp; '棲息地'!$C$2:$C995, ISNUMBER(SEARCH($B231, '棲息地'!$D$2:$D995))), 1), """")"),"軟綿綿的花田 / 浮島之花 ×4")</f>
        <v>軟綿綿的花田 / 浮島之花 ×4</v>
      </c>
      <c r="I231" s="36" t="str">
        <f>IFERROR(__xludf.DUMMYFUNCTION("IFERROR(INDEX(FILTER('棲息地'!$D$2:$D995, ISNUMBER(SEARCH($B231, '棲息地'!$D$2:$D995))), 1), """")"),"六尾、九尾、夢妖、夢妖魔、稚山雀")</f>
        <v>六尾、九尾、夢妖、夢妖魔、稚山雀</v>
      </c>
      <c r="J231" s="36" t="str">
        <f>IFERROR(__xludf.DUMMYFUNCTION("IFERROR(INDEX(FILTER('棲息地'!$B$2:$B995 &amp; "" / "" &amp; '棲息地'!$C$2:$C995, ISNUMBER(SEARCH($B231, '棲息地'!$D$2:$D995))), 2), """")"),"家庭影院 / 音響 ×2、電視 ×1、矮櫃組 ×1")</f>
        <v>家庭影院 / 音響 ×2、電視 ×1、矮櫃組 ×1</v>
      </c>
      <c r="K231" s="36" t="str">
        <f>IFERROR(__xludf.DUMMYFUNCTION("IFERROR(INDEX(FILTER('棲息地'!$D$2:$D995, ISNUMBER(SEARCH($B231, '棲息地'!$D$2:$D995))), 2), """")"),"夢妖魔（★）")</f>
        <v>夢妖魔（★）</v>
      </c>
      <c r="L231" s="36" t="str">
        <f>IFERROR(__xludf.DUMMYFUNCTION("IFERROR(INDEX(FILTER('棲息地'!$D$2:$D995, ISNUMBER(SEARCH($B231, '棲息地'!$D$2:$D995))), 3), """")"),"夢妖、多龍奇、多龍巴魯托")</f>
        <v>夢妖、多龍奇、多龍巴魯托</v>
      </c>
      <c r="M231" s="36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22.5" customHeight="1">
      <c r="A232" s="33" t="s">
        <v>1785</v>
      </c>
      <c r="B232" s="34" t="s">
        <v>1786</v>
      </c>
      <c r="C232" s="35" t="s">
        <v>1380</v>
      </c>
      <c r="D232" s="34" t="s">
        <v>1080</v>
      </c>
      <c r="E232" s="35" t="s">
        <v>1200</v>
      </c>
      <c r="F232" s="35" t="s">
        <v>1787</v>
      </c>
      <c r="G232" s="35" t="s">
        <v>1125</v>
      </c>
      <c r="H232" s="36" t="str">
        <f>IFERROR(__xludf.DUMMYFUNCTION("IFERROR(INDEX(FILTER('棲息地'!$B$2:$B995 &amp; "" / "" &amp; '棲息地'!$C$2:$C995, ISNUMBER(SEARCH($B232, '棲息地'!$D$2:$D995))), 1), """")"),"軟綿綿的花田 / 浮島之花 ×4")</f>
        <v>軟綿綿的花田 / 浮島之花 ×4</v>
      </c>
      <c r="I232" s="36" t="str">
        <f>IFERROR(__xludf.DUMMYFUNCTION("IFERROR(INDEX(FILTER('棲息地'!$D$2:$D995, ISNUMBER(SEARCH($B232, '棲息地'!$D$2:$D995))), 1), """")"),"六尾、九尾、夢妖、夢妖魔、稚山雀")</f>
        <v>六尾、九尾、夢妖、夢妖魔、稚山雀</v>
      </c>
      <c r="J232" s="36" t="str">
        <f>IFERROR(__xludf.DUMMYFUNCTION("IFERROR(INDEX(FILTER('棲息地'!$B$2:$B995 &amp; "" / "" &amp; '棲息地'!$C$2:$C995, ISNUMBER(SEARCH($B232, '棲息地'!$D$2:$D995))), 2), """")"),"家庭影院 / 音響 ×2、電視 ×1、矮櫃組 ×1")</f>
        <v>家庭影院 / 音響 ×2、電視 ×1、矮櫃組 ×1</v>
      </c>
      <c r="K232" s="36" t="str">
        <f>IFERROR(__xludf.DUMMYFUNCTION("IFERROR(INDEX(FILTER('棲息地'!$D$2:$D995, ISNUMBER(SEARCH($B232, '棲息地'!$D$2:$D995))), 2), """")"),"夢妖魔（★）")</f>
        <v>夢妖魔（★）</v>
      </c>
      <c r="L232" s="36" t="str">
        <f>IFERROR(__xludf.DUMMYFUNCTION("IFERROR(INDEX(FILTER('棲息地'!$D$2:$D995, ISNUMBER(SEARCH($B232, '棲息地'!$D$2:$D995))), 3), """")"),"")</f>
        <v/>
      </c>
      <c r="M232" s="36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22.5" customHeight="1">
      <c r="A233" s="33" t="s">
        <v>1788</v>
      </c>
      <c r="B233" s="34" t="s">
        <v>1789</v>
      </c>
      <c r="C233" s="35" t="s">
        <v>1517</v>
      </c>
      <c r="D233" s="34" t="s">
        <v>1080</v>
      </c>
      <c r="E233" s="35" t="s">
        <v>1093</v>
      </c>
      <c r="F233" s="35" t="s">
        <v>1790</v>
      </c>
      <c r="G233" s="35" t="s">
        <v>1087</v>
      </c>
      <c r="H233" s="36" t="str">
        <f>IFERROR(__xludf.DUMMYFUNCTION("IFERROR(INDEX(FILTER('棲息地'!$B$2:$B995 &amp; "" / "" &amp; '棲息地'!$C$2:$C995, ISNUMBER(SEARCH($B233, '棲息地'!$D$2:$D995))), 1), """")"),"樹蔭的軟綿綿花田 / 大樹 ×1、浮島之花 ×4")</f>
        <v>樹蔭的軟綿綿花田 / 大樹 ×1、浮島之花 ×4</v>
      </c>
      <c r="I233" s="36" t="str">
        <f>IFERROR(__xludf.DUMMYFUNCTION("IFERROR(INDEX(FILTER('棲息地'!$D$2:$D995, ISNUMBER(SEARCH($B233, '棲息地'!$D$2:$D995))), 1), """")"),"麒麟奇、奇麒麟、青藤蛇")</f>
        <v>麒麟奇、奇麒麟、青藤蛇</v>
      </c>
      <c r="J233" s="36" t="str">
        <f>IFERROR(__xludf.DUMMYFUNCTION("IFERROR(INDEX(FILTER('棲息地'!$B$2:$B995 &amp; "" / "" &amp; '棲息地'!$C$2:$C995, ISNUMBER(SEARCH($B233, '棲息地'!$D$2:$D995))), 2), """")"),"")</f>
        <v/>
      </c>
      <c r="K233" s="36" t="str">
        <f>IFERROR(__xludf.DUMMYFUNCTION("IFERROR(INDEX(FILTER('棲息地'!$D$2:$D995, ISNUMBER(SEARCH($B233, '棲息地'!$D$2:$D995))), 2), """")"),"")</f>
        <v/>
      </c>
      <c r="L233" s="36" t="str">
        <f>IFERROR(__xludf.DUMMYFUNCTION("IFERROR(INDEX(FILTER('棲息地'!$D$2:$D995, ISNUMBER(SEARCH($B233, '棲息地'!$D$2:$D995))), 3), """")"),"")</f>
        <v/>
      </c>
      <c r="M233" s="36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22.5" customHeight="1">
      <c r="A234" s="33" t="s">
        <v>1791</v>
      </c>
      <c r="B234" s="34" t="s">
        <v>1792</v>
      </c>
      <c r="C234" s="35" t="s">
        <v>1793</v>
      </c>
      <c r="D234" s="34" t="s">
        <v>1080</v>
      </c>
      <c r="E234" s="35" t="s">
        <v>1093</v>
      </c>
      <c r="F234" s="35" t="s">
        <v>1790</v>
      </c>
      <c r="G234" s="35" t="s">
        <v>1087</v>
      </c>
      <c r="H234" s="36" t="str">
        <f>IFERROR(__xludf.DUMMYFUNCTION("IFERROR(INDEX(FILTER('棲息地'!$B$2:$B995 &amp; "" / "" &amp; '棲息地'!$C$2:$C995, ISNUMBER(SEARCH($B234, '棲息地'!$D$2:$D995))), 1), """")"),"樹蔭的軟綿綿花田 / 大樹 ×1、浮島之花 ×4")</f>
        <v>樹蔭的軟綿綿花田 / 大樹 ×1、浮島之花 ×4</v>
      </c>
      <c r="I234" s="36" t="str">
        <f>IFERROR(__xludf.DUMMYFUNCTION("IFERROR(INDEX(FILTER('棲息地'!$D$2:$D995, ISNUMBER(SEARCH($B234, '棲息地'!$D$2:$D995))), 1), """")"),"麒麟奇、奇麒麟、青藤蛇")</f>
        <v>麒麟奇、奇麒麟、青藤蛇</v>
      </c>
      <c r="J234" s="36" t="str">
        <f>IFERROR(__xludf.DUMMYFUNCTION("IFERROR(INDEX(FILTER('棲息地'!$B$2:$B995 &amp; "" / "" &amp; '棲息地'!$C$2:$C995, ISNUMBER(SEARCH($B234, '棲息地'!$D$2:$D995))), 2), """")"),"")</f>
        <v/>
      </c>
      <c r="K234" s="36" t="str">
        <f>IFERROR(__xludf.DUMMYFUNCTION("IFERROR(INDEX(FILTER('棲息地'!$D$2:$D995, ISNUMBER(SEARCH($B234, '棲息地'!$D$2:$D995))), 2), """")"),"")</f>
        <v/>
      </c>
      <c r="L234" s="36" t="str">
        <f>IFERROR(__xludf.DUMMYFUNCTION("IFERROR(INDEX(FILTER('棲息地'!$D$2:$D995, ISNUMBER(SEARCH($B234, '棲息地'!$D$2:$D995))), 3), """")"),"")</f>
        <v/>
      </c>
      <c r="M234" s="36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22.5" customHeight="1">
      <c r="A235" s="33" t="s">
        <v>1794</v>
      </c>
      <c r="B235" s="34" t="s">
        <v>1795</v>
      </c>
      <c r="C235" s="35" t="s">
        <v>1746</v>
      </c>
      <c r="D235" s="34" t="s">
        <v>1080</v>
      </c>
      <c r="E235" s="35" t="s">
        <v>1081</v>
      </c>
      <c r="F235" s="35" t="s">
        <v>1796</v>
      </c>
      <c r="G235" s="35" t="s">
        <v>1083</v>
      </c>
      <c r="H235" s="36" t="str">
        <f>IFERROR(__xludf.DUMMYFUNCTION("IFERROR(INDEX(FILTER('棲息地'!$B$2:$B995 &amp; "" / "" &amp; '棲息地'!$C$2:$C995, ISNUMBER(SEARCH($B235, '棲息地'!$D$2:$D995))), 1), """")"),"學習空間 / 書架 ×1")</f>
        <v>學習空間 / 書架 ×1</v>
      </c>
      <c r="I235" s="36" t="str">
        <f>IFERROR(__xludf.DUMMYFUNCTION("IFERROR(INDEX(FILTER('棲息地'!$D$2:$D995, ISNUMBER(SEARCH($B235, '棲息地'!$D$2:$D995))), 1), """")"),"拉魯拉絲、奇魯莉安")</f>
        <v>拉魯拉絲、奇魯莉安</v>
      </c>
      <c r="J235" s="36" t="str">
        <f>IFERROR(__xludf.DUMMYFUNCTION("IFERROR(INDEX(FILTER('棲息地'!$B$2:$B995 &amp; "" / "" &amp; '棲息地'!$C$2:$C995, ISNUMBER(SEARCH($B235, '棲息地'!$D$2:$D995))), 2), """")"),"")</f>
        <v/>
      </c>
      <c r="K235" s="36" t="str">
        <f>IFERROR(__xludf.DUMMYFUNCTION("IFERROR(INDEX(FILTER('棲息地'!$D$2:$D995, ISNUMBER(SEARCH($B235, '棲息地'!$D$2:$D995))), 2), """")"),"")</f>
        <v/>
      </c>
      <c r="L235" s="36" t="str">
        <f>IFERROR(__xludf.DUMMYFUNCTION("IFERROR(INDEX(FILTER('棲息地'!$D$2:$D995, ISNUMBER(SEARCH($B235, '棲息地'!$D$2:$D995))), 3), """")"),"")</f>
        <v/>
      </c>
      <c r="M235" s="36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22.5" customHeight="1">
      <c r="A236" s="33" t="s">
        <v>1797</v>
      </c>
      <c r="B236" s="34" t="s">
        <v>1798</v>
      </c>
      <c r="C236" s="35" t="s">
        <v>1746</v>
      </c>
      <c r="D236" s="34" t="s">
        <v>1080</v>
      </c>
      <c r="E236" s="35" t="s">
        <v>1081</v>
      </c>
      <c r="F236" s="35" t="s">
        <v>1796</v>
      </c>
      <c r="G236" s="35" t="s">
        <v>1083</v>
      </c>
      <c r="H236" s="36" t="str">
        <f>IFERROR(__xludf.DUMMYFUNCTION("IFERROR(INDEX(FILTER('棲息地'!$B$2:$B995 &amp; "" / "" &amp; '棲息地'!$C$2:$C995, ISNUMBER(SEARCH($B236, '棲息地'!$D$2:$D995))), 1), """")"),"學習空間 / 書架 ×1")</f>
        <v>學習空間 / 書架 ×1</v>
      </c>
      <c r="I236" s="36" t="str">
        <f>IFERROR(__xludf.DUMMYFUNCTION("IFERROR(INDEX(FILTER('棲息地'!$D$2:$D995, ISNUMBER(SEARCH($B236, '棲息地'!$D$2:$D995))), 1), """")"),"拉魯拉絲、奇魯莉安")</f>
        <v>拉魯拉絲、奇魯莉安</v>
      </c>
      <c r="J236" s="36" t="str">
        <f>IFERROR(__xludf.DUMMYFUNCTION("IFERROR(INDEX(FILTER('棲息地'!$B$2:$B995 &amp; "" / "" &amp; '棲息地'!$C$2:$C995, ISNUMBER(SEARCH($B236, '棲息地'!$D$2:$D995))), 2), """")"),"質感化妝台 / 椅子 ×1、梳妝台 ×1、加濕器 ×1")</f>
        <v>質感化妝台 / 椅子 ×1、梳妝台 ×1、加濕器 ×1</v>
      </c>
      <c r="K236" s="36" t="str">
        <f>IFERROR(__xludf.DUMMYFUNCTION("IFERROR(INDEX(FILTER('棲息地'!$D$2:$D995, ISNUMBER(SEARCH($B236, '棲息地'!$D$2:$D995))), 2), """")"),"奇魯莉安（★）、沙奈朵（★★）")</f>
        <v>奇魯莉安（★）、沙奈朵（★★）</v>
      </c>
      <c r="L236" s="36" t="str">
        <f>IFERROR(__xludf.DUMMYFUNCTION("IFERROR(INDEX(FILTER('棲息地'!$D$2:$D995, ISNUMBER(SEARCH($B236, '棲息地'!$D$2:$D995))), 3), """")"),"")</f>
        <v/>
      </c>
      <c r="M236" s="36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22.5" customHeight="1">
      <c r="A237" s="33" t="s">
        <v>1799</v>
      </c>
      <c r="B237" s="34" t="s">
        <v>818</v>
      </c>
      <c r="C237" s="35" t="s">
        <v>1752</v>
      </c>
      <c r="D237" s="34" t="s">
        <v>1080</v>
      </c>
      <c r="E237" s="35" t="s">
        <v>1081</v>
      </c>
      <c r="F237" s="35" t="s">
        <v>1800</v>
      </c>
      <c r="G237" s="35" t="s">
        <v>1087</v>
      </c>
      <c r="H237" s="36" t="str">
        <f>IFERROR(__xludf.DUMMYFUNCTION("IFERROR(INDEX(FILTER('棲息地'!$B$2:$B995 &amp; "" / "" &amp; '棲息地'!$C$2:$C995, ISNUMBER(SEARCH($B237, '棲息地'!$D$2:$D995))), 1), """")"),"質感化妝台 / 椅子 ×1、梳妝台 ×1、加濕器 ×1")</f>
        <v>質感化妝台 / 椅子 ×1、梳妝台 ×1、加濕器 ×1</v>
      </c>
      <c r="I237" s="36" t="str">
        <f>IFERROR(__xludf.DUMMYFUNCTION("IFERROR(INDEX(FILTER('棲息地'!$D$2:$D995, ISNUMBER(SEARCH($B237, '棲息地'!$D$2:$D995))), 1), """")"),"奇魯莉安（★）、沙奈朵（★★）")</f>
        <v>奇魯莉安（★）、沙奈朵（★★）</v>
      </c>
      <c r="J237" s="36" t="str">
        <f>IFERROR(__xludf.DUMMYFUNCTION("IFERROR(INDEX(FILTER('棲息地'!$B$2:$B995 &amp; "" / "" &amp; '棲息地'!$C$2:$C995, ISNUMBER(SEARCH($B237, '棲息地'!$D$2:$D995))), 2), """")"),"迷你圖書館 / 書架 ×2、梯子 ×1、桌子 ×1、照明 ×1")</f>
        <v>迷你圖書館 / 書架 ×2、梯子 ×1、桌子 ×1、照明 ×1</v>
      </c>
      <c r="K237" s="36" t="str">
        <f>IFERROR(__xludf.DUMMYFUNCTION("IFERROR(INDEX(FILTER('棲息地'!$D$2:$D995, ISNUMBER(SEARCH($B237, '棲息地'!$D$2:$D995))), 2), """")"),"沙奈朵")</f>
        <v>沙奈朵</v>
      </c>
      <c r="L237" s="36" t="str">
        <f>IFERROR(__xludf.DUMMYFUNCTION("IFERROR(INDEX(FILTER('棲息地'!$D$2:$D995, ISNUMBER(SEARCH($B237, '棲息地'!$D$2:$D995))), 3), """")"),"")</f>
        <v/>
      </c>
      <c r="M237" s="36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22.5" customHeight="1">
      <c r="A238" s="33" t="s">
        <v>1801</v>
      </c>
      <c r="B238" s="34" t="s">
        <v>1802</v>
      </c>
      <c r="C238" s="35" t="s">
        <v>1803</v>
      </c>
      <c r="D238" s="34" t="s">
        <v>1080</v>
      </c>
      <c r="E238" s="35" t="s">
        <v>1081</v>
      </c>
      <c r="F238" s="35" t="s">
        <v>1804</v>
      </c>
      <c r="G238" s="35" t="s">
        <v>1095</v>
      </c>
      <c r="H238" s="36" t="str">
        <f>IFERROR(__xludf.DUMMYFUNCTION("IFERROR(INDEX(FILTER('棲息地'!$B$2:$B995 &amp; "" / "" &amp; '棲息地'!$C$2:$C995, ISNUMBER(SEARCH($B238, '棲息地'!$D$2:$D995))), 1), """")"),"在道場訓練 / 怪力岩 ×2、掛軸 ×2")</f>
        <v>在道場訓練 / 怪力岩 ×2、掛軸 ×2</v>
      </c>
      <c r="I238" s="36" t="str">
        <f>IFERROR(__xludf.DUMMYFUNCTION("IFERROR(INDEX(FILTER('棲息地'!$D$2:$D995, ISNUMBER(SEARCH($B238, '棲息地'!$D$2:$D995))), 1), """")"),"蚊香泳士（★）、艾路雷朵（★★）")</f>
        <v>蚊香泳士（★）、艾路雷朵（★★）</v>
      </c>
      <c r="J238" s="36" t="str">
        <f>IFERROR(__xludf.DUMMYFUNCTION("IFERROR(INDEX(FILTER('棲息地'!$B$2:$B995 &amp; "" / "" &amp; '棲息地'!$C$2:$C995, ISNUMBER(SEARCH($B238, '棲息地'!$D$2:$D995))), 2), """")"),"")</f>
        <v/>
      </c>
      <c r="K238" s="36" t="str">
        <f>IFERROR(__xludf.DUMMYFUNCTION("IFERROR(INDEX(FILTER('棲息地'!$D$2:$D995, ISNUMBER(SEARCH($B238, '棲息地'!$D$2:$D995))), 2), """")"),"")</f>
        <v/>
      </c>
      <c r="L238" s="36" t="str">
        <f>IFERROR(__xludf.DUMMYFUNCTION("IFERROR(INDEX(FILTER('棲息地'!$D$2:$D995, ISNUMBER(SEARCH($B238, '棲息地'!$D$2:$D995))), 3), """")"),"")</f>
        <v/>
      </c>
      <c r="M238" s="36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22.5" customHeight="1">
      <c r="A239" s="33" t="s">
        <v>1805</v>
      </c>
      <c r="B239" s="34" t="s">
        <v>1806</v>
      </c>
      <c r="C239" s="35" t="s">
        <v>1169</v>
      </c>
      <c r="D239" s="34" t="s">
        <v>1080</v>
      </c>
      <c r="E239" s="35" t="s">
        <v>1081</v>
      </c>
      <c r="F239" s="35" t="s">
        <v>1807</v>
      </c>
      <c r="G239" s="35" t="s">
        <v>1083</v>
      </c>
      <c r="H239" s="36" t="str">
        <f>IFERROR(__xludf.DUMMYFUNCTION("IFERROR(INDEX(FILTER('棲息地'!$B$2:$B995 &amp; "" / "" &amp; '棲息地'!$C$2:$C995, ISNUMBER(SEARCH($B239, '棲息地'!$D$2:$D995))), 1), """")"),"絕景拍照版 / 人形立牌 ×1、高處 ×1")</f>
        <v>絕景拍照版 / 人形立牌 ×1、高處 ×1</v>
      </c>
      <c r="I239" s="36" t="str">
        <f>IFERROR(__xludf.DUMMYFUNCTION("IFERROR(INDEX(FILTER('棲息地'!$D$2:$D995, ISNUMBER(SEARCH($B239, '棲息地'!$D$2:$D995))), 1), """")"),"正電拍拍、負電拍拍")</f>
        <v>正電拍拍、負電拍拍</v>
      </c>
      <c r="J239" s="36" t="str">
        <f>IFERROR(__xludf.DUMMYFUNCTION("IFERROR(INDEX(FILTER('棲息地'!$B$2:$B995 &amp; "" / "" &amp; '棲息地'!$C$2:$C995, ISNUMBER(SEARCH($B239, '棲息地'!$D$2:$D995))), 2), """")"),"")</f>
        <v/>
      </c>
      <c r="K239" s="36" t="str">
        <f>IFERROR(__xludf.DUMMYFUNCTION("IFERROR(INDEX(FILTER('棲息地'!$D$2:$D995, ISNUMBER(SEARCH($B239, '棲息地'!$D$2:$D995))), 2), """")"),"")</f>
        <v/>
      </c>
      <c r="L239" s="36" t="str">
        <f>IFERROR(__xludf.DUMMYFUNCTION("IFERROR(INDEX(FILTER('棲息地'!$D$2:$D995, ISNUMBER(SEARCH($B239, '棲息地'!$D$2:$D995))), 3), """")"),"")</f>
        <v/>
      </c>
      <c r="M239" s="36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22.5" customHeight="1">
      <c r="A240" s="33" t="s">
        <v>1808</v>
      </c>
      <c r="B240" s="34" t="s">
        <v>1809</v>
      </c>
      <c r="C240" s="35" t="s">
        <v>1169</v>
      </c>
      <c r="D240" s="34" t="s">
        <v>1080</v>
      </c>
      <c r="E240" s="35" t="s">
        <v>1081</v>
      </c>
      <c r="F240" s="35" t="s">
        <v>1807</v>
      </c>
      <c r="G240" s="35" t="s">
        <v>1095</v>
      </c>
      <c r="H240" s="36" t="str">
        <f>IFERROR(__xludf.DUMMYFUNCTION("IFERROR(INDEX(FILTER('棲息地'!$B$2:$B995 &amp; "" / "" &amp; '棲息地'!$C$2:$C995, ISNUMBER(SEARCH($B240, '棲息地'!$D$2:$D995))), 1), """")"),"絕景拍照版 / 人形立牌 ×1、高處 ×1")</f>
        <v>絕景拍照版 / 人形立牌 ×1、高處 ×1</v>
      </c>
      <c r="I240" s="36" t="str">
        <f>IFERROR(__xludf.DUMMYFUNCTION("IFERROR(INDEX(FILTER('棲息地'!$D$2:$D995, ISNUMBER(SEARCH($B240, '棲息地'!$D$2:$D995))), 1), """")"),"正電拍拍、負電拍拍")</f>
        <v>正電拍拍、負電拍拍</v>
      </c>
      <c r="J240" s="36" t="str">
        <f>IFERROR(__xludf.DUMMYFUNCTION("IFERROR(INDEX(FILTER('棲息地'!$B$2:$B995 &amp; "" / "" &amp; '棲息地'!$C$2:$C995, ISNUMBER(SEARCH($B240, '棲息地'!$D$2:$D995))), 2), """")"),"")</f>
        <v/>
      </c>
      <c r="K240" s="36" t="str">
        <f>IFERROR(__xludf.DUMMYFUNCTION("IFERROR(INDEX(FILTER('棲息地'!$D$2:$D995, ISNUMBER(SEARCH($B240, '棲息地'!$D$2:$D995))), 2), """")"),"")</f>
        <v/>
      </c>
      <c r="L240" s="36" t="str">
        <f>IFERROR(__xludf.DUMMYFUNCTION("IFERROR(INDEX(FILTER('棲息地'!$D$2:$D995, ISNUMBER(SEARCH($B240, '棲息地'!$D$2:$D995))), 3), """")"),"")</f>
        <v/>
      </c>
      <c r="M240" s="36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22.5" customHeight="1">
      <c r="A241" s="33" t="s">
        <v>1810</v>
      </c>
      <c r="B241" s="34" t="s">
        <v>1811</v>
      </c>
      <c r="C241" s="35" t="s">
        <v>1463</v>
      </c>
      <c r="D241" s="35" t="s">
        <v>1459</v>
      </c>
      <c r="E241" s="35" t="s">
        <v>1180</v>
      </c>
      <c r="F241" s="35" t="s">
        <v>1812</v>
      </c>
      <c r="G241" s="35" t="s">
        <v>1095</v>
      </c>
      <c r="H241" s="36" t="str">
        <f>IFERROR(__xludf.DUMMYFUNCTION("IFERROR(INDEX(FILTER('棲息地'!$B$2:$B995 &amp; "" / "" &amp; '棲息地'!$C$2:$C995, ISNUMBER(SEARCH($B241, '棲息地'!$D$2:$D995))), 1), """")"),"粉色的草叢 / 粉紅草 ×4")</f>
        <v>粉色的草叢 / 粉紅草 ×4</v>
      </c>
      <c r="I241" s="36" t="str">
        <f>IFERROR(__xludf.DUMMYFUNCTION("IFERROR(INDEX(FILTER('棲息地'!$D$2:$D995, ISNUMBER(SEARCH($B241, '棲息地'!$D$2:$D995))), 1), """")"),"大顎蟻、超音波幼蟲、沙漠蜻蜓、青綿鳥、夜巡靈")</f>
        <v>大顎蟻、超音波幼蟲、沙漠蜻蜓、青綿鳥、夜巡靈</v>
      </c>
      <c r="J241" s="36" t="str">
        <f>IFERROR(__xludf.DUMMYFUNCTION("IFERROR(INDEX(FILTER('棲息地'!$B$2:$B995 &amp; "" / "" &amp; '棲息地'!$C$2:$C995, ISNUMBER(SEARCH($B241, '棲息地'!$D$2:$D995))), 2), """")"),"")</f>
        <v/>
      </c>
      <c r="K241" s="36" t="str">
        <f>IFERROR(__xludf.DUMMYFUNCTION("IFERROR(INDEX(FILTER('棲息地'!$D$2:$D995, ISNUMBER(SEARCH($B241, '棲息地'!$D$2:$D995))), 2), """")"),"")</f>
        <v/>
      </c>
      <c r="L241" s="36" t="str">
        <f>IFERROR(__xludf.DUMMYFUNCTION("IFERROR(INDEX(FILTER('棲息地'!$D$2:$D995, ISNUMBER(SEARCH($B241, '棲息地'!$D$2:$D995))), 3), """")"),"")</f>
        <v/>
      </c>
      <c r="M241" s="36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22.5" customHeight="1">
      <c r="A242" s="33" t="s">
        <v>1813</v>
      </c>
      <c r="B242" s="34" t="s">
        <v>1814</v>
      </c>
      <c r="C242" s="35" t="s">
        <v>1815</v>
      </c>
      <c r="D242" s="34" t="s">
        <v>1080</v>
      </c>
      <c r="E242" s="35" t="s">
        <v>1180</v>
      </c>
      <c r="F242" s="35" t="s">
        <v>1816</v>
      </c>
      <c r="G242" s="35" t="s">
        <v>1125</v>
      </c>
      <c r="H242" s="36" t="str">
        <f>IFERROR(__xludf.DUMMYFUNCTION("IFERROR(INDEX(FILTER('棲息地'!$B$2:$B995 &amp; "" / "" &amp; '棲息地'!$C$2:$C995, ISNUMBER(SEARCH($B242, '棲息地'!$D$2:$D995))), 1), """")"),"粉色的草叢 / 粉紅草 ×4")</f>
        <v>粉色的草叢 / 粉紅草 ×4</v>
      </c>
      <c r="I242" s="36" t="str">
        <f>IFERROR(__xludf.DUMMYFUNCTION("IFERROR(INDEX(FILTER('棲息地'!$D$2:$D995, ISNUMBER(SEARCH($B242, '棲息地'!$D$2:$D995))), 1), """")"),"大顎蟻、超音波幼蟲、沙漠蜻蜓、青綿鳥、夜巡靈")</f>
        <v>大顎蟻、超音波幼蟲、沙漠蜻蜓、青綿鳥、夜巡靈</v>
      </c>
      <c r="J242" s="36" t="str">
        <f>IFERROR(__xludf.DUMMYFUNCTION("IFERROR(INDEX(FILTER('棲息地'!$B$2:$B995 &amp; "" / "" &amp; '棲息地'!$C$2:$C995, ISNUMBER(SEARCH($B242, '棲息地'!$D$2:$D995))), 2), """")"),"")</f>
        <v/>
      </c>
      <c r="K242" s="36" t="str">
        <f>IFERROR(__xludf.DUMMYFUNCTION("IFERROR(INDEX(FILTER('棲息地'!$D$2:$D995, ISNUMBER(SEARCH($B242, '棲息地'!$D$2:$D995))), 2), """")"),"")</f>
        <v/>
      </c>
      <c r="L242" s="36" t="str">
        <f>IFERROR(__xludf.DUMMYFUNCTION("IFERROR(INDEX(FILTER('棲息地'!$D$2:$D995, ISNUMBER(SEARCH($B242, '棲息地'!$D$2:$D995))), 3), """")"),"")</f>
        <v/>
      </c>
      <c r="M242" s="36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22.5" customHeight="1">
      <c r="A243" s="33" t="s">
        <v>1817</v>
      </c>
      <c r="B243" s="34" t="s">
        <v>1818</v>
      </c>
      <c r="C243" s="35" t="s">
        <v>1815</v>
      </c>
      <c r="D243" s="34" t="s">
        <v>1080</v>
      </c>
      <c r="E243" s="35" t="s">
        <v>1180</v>
      </c>
      <c r="F243" s="35" t="s">
        <v>1819</v>
      </c>
      <c r="G243" s="35" t="s">
        <v>1087</v>
      </c>
      <c r="H243" s="36" t="str">
        <f>IFERROR(__xludf.DUMMYFUNCTION("IFERROR(INDEX(FILTER('棲息地'!$B$2:$B995 &amp; "" / "" &amp; '棲息地'!$C$2:$C995, ISNUMBER(SEARCH($B243, '棲息地'!$D$2:$D995))), 1), """")"),"粉色的草叢 / 粉紅草 ×4")</f>
        <v>粉色的草叢 / 粉紅草 ×4</v>
      </c>
      <c r="I243" s="36" t="str">
        <f>IFERROR(__xludf.DUMMYFUNCTION("IFERROR(INDEX(FILTER('棲息地'!$D$2:$D995, ISNUMBER(SEARCH($B243, '棲息地'!$D$2:$D995))), 1), """")"),"大顎蟻、超音波幼蟲、沙漠蜻蜓、青綿鳥、夜巡靈")</f>
        <v>大顎蟻、超音波幼蟲、沙漠蜻蜓、青綿鳥、夜巡靈</v>
      </c>
      <c r="J243" s="36" t="str">
        <f>IFERROR(__xludf.DUMMYFUNCTION("IFERROR(INDEX(FILTER('棲息地'!$B$2:$B995 &amp; "" / "" &amp; '棲息地'!$C$2:$C995, ISNUMBER(SEARCH($B243, '棲息地'!$D$2:$D995))), 2), """")"),"")</f>
        <v/>
      </c>
      <c r="K243" s="36" t="str">
        <f>IFERROR(__xludf.DUMMYFUNCTION("IFERROR(INDEX(FILTER('棲息地'!$D$2:$D995, ISNUMBER(SEARCH($B243, '棲息地'!$D$2:$D995))), 2), """")"),"")</f>
        <v/>
      </c>
      <c r="L243" s="36" t="str">
        <f>IFERROR(__xludf.DUMMYFUNCTION("IFERROR(INDEX(FILTER('棲息地'!$D$2:$D995, ISNUMBER(SEARCH($B243, '棲息地'!$D$2:$D995))), 3), """")"),"")</f>
        <v/>
      </c>
      <c r="M243" s="36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22.5" customHeight="1">
      <c r="A244" s="33" t="s">
        <v>1820</v>
      </c>
      <c r="B244" s="34" t="s">
        <v>1821</v>
      </c>
      <c r="C244" s="35" t="s">
        <v>1265</v>
      </c>
      <c r="D244" s="35" t="s">
        <v>1438</v>
      </c>
      <c r="E244" s="35" t="s">
        <v>1081</v>
      </c>
      <c r="F244" s="35" t="s">
        <v>1822</v>
      </c>
      <c r="G244" s="35" t="s">
        <v>1083</v>
      </c>
      <c r="H244" s="36" t="str">
        <f>IFERROR(__xludf.DUMMYFUNCTION("IFERROR(INDEX(FILTER('棲息地'!$B$2:$B995 &amp; "" / "" &amp; '棲息地'!$C$2:$C995, ISNUMBER(SEARCH($B244, '棲息地'!$D$2:$D995))), 1), """")"),"粉色的草叢 / 粉紅草 ×4")</f>
        <v>粉色的草叢 / 粉紅草 ×4</v>
      </c>
      <c r="I244" s="36" t="str">
        <f>IFERROR(__xludf.DUMMYFUNCTION("IFERROR(INDEX(FILTER('棲息地'!$D$2:$D995, ISNUMBER(SEARCH($B244, '棲息地'!$D$2:$D995))), 1), """")"),"大顎蟻、超音波幼蟲、沙漠蜻蜓、青綿鳥、夜巡靈")</f>
        <v>大顎蟻、超音波幼蟲、沙漠蜻蜓、青綿鳥、夜巡靈</v>
      </c>
      <c r="J244" s="36" t="str">
        <f>IFERROR(__xludf.DUMMYFUNCTION("IFERROR(INDEX(FILTER('棲息地'!$B$2:$B995 &amp; "" / "" &amp; '棲息地'!$C$2:$C995, ISNUMBER(SEARCH($B244, '棲息地'!$D$2:$D995))), 2), """")"),"")</f>
        <v/>
      </c>
      <c r="K244" s="36" t="str">
        <f>IFERROR(__xludf.DUMMYFUNCTION("IFERROR(INDEX(FILTER('棲息地'!$D$2:$D995, ISNUMBER(SEARCH($B244, '棲息地'!$D$2:$D995))), 2), """")"),"")</f>
        <v/>
      </c>
      <c r="L244" s="36" t="str">
        <f>IFERROR(__xludf.DUMMYFUNCTION("IFERROR(INDEX(FILTER('棲息地'!$D$2:$D995, ISNUMBER(SEARCH($B244, '棲息地'!$D$2:$D995))), 3), """")"),"")</f>
        <v/>
      </c>
      <c r="M244" s="36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22.5" customHeight="1">
      <c r="A245" s="33" t="s">
        <v>1823</v>
      </c>
      <c r="B245" s="34" t="s">
        <v>738</v>
      </c>
      <c r="C245" s="35" t="s">
        <v>1824</v>
      </c>
      <c r="D245" s="35" t="s">
        <v>1438</v>
      </c>
      <c r="E245" s="35" t="s">
        <v>1081</v>
      </c>
      <c r="F245" s="35" t="s">
        <v>1825</v>
      </c>
      <c r="G245" s="35" t="s">
        <v>1087</v>
      </c>
      <c r="H245" s="36" t="str">
        <f>IFERROR(__xludf.DUMMYFUNCTION("IFERROR(INDEX(FILTER('棲息地'!$B$2:$B995 &amp; "" / "" &amp; '棲息地'!$C$2:$C995, ISNUMBER(SEARCH($B245, '棲息地'!$D$2:$D995))), 1), """")"),"鳥鳴花園 / 木製鳥巢箱 ×1")</f>
        <v>鳥鳴花園 / 木製鳥巢箱 ×1</v>
      </c>
      <c r="I245" s="36" t="str">
        <f>IFERROR(__xludf.DUMMYFUNCTION("IFERROR(INDEX(FILTER('棲息地'!$D$2:$D995, ISNUMBER(SEARCH($B245, '棲息地'!$D$2:$D995))), 1), """")"),"七夕青鳥")</f>
        <v>七夕青鳥</v>
      </c>
      <c r="J245" s="36" t="str">
        <f>IFERROR(__xludf.DUMMYFUNCTION("IFERROR(INDEX(FILTER('棲息地'!$B$2:$B995 &amp; "" / "" &amp; '棲息地'!$C$2:$C995, ISNUMBER(SEARCH($B245, '棲息地'!$D$2:$D995))), 2), """")"),"")</f>
        <v/>
      </c>
      <c r="K245" s="36" t="str">
        <f>IFERROR(__xludf.DUMMYFUNCTION("IFERROR(INDEX(FILTER('棲息地'!$D$2:$D995, ISNUMBER(SEARCH($B245, '棲息地'!$D$2:$D995))), 2), """")"),"")</f>
        <v/>
      </c>
      <c r="L245" s="36" t="str">
        <f>IFERROR(__xludf.DUMMYFUNCTION("IFERROR(INDEX(FILTER('棲息地'!$D$2:$D995, ISNUMBER(SEARCH($B245, '棲息地'!$D$2:$D995))), 3), """")"),"")</f>
        <v/>
      </c>
      <c r="M245" s="36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22.5" customHeight="1">
      <c r="A246" s="33" t="s">
        <v>1826</v>
      </c>
      <c r="B246" s="34" t="s">
        <v>1827</v>
      </c>
      <c r="C246" s="35" t="s">
        <v>1517</v>
      </c>
      <c r="D246" s="34" t="s">
        <v>1080</v>
      </c>
      <c r="E246" s="35" t="s">
        <v>1200</v>
      </c>
      <c r="F246" s="35" t="s">
        <v>1828</v>
      </c>
      <c r="G246" s="35" t="s">
        <v>1125</v>
      </c>
      <c r="H246" s="36" t="str">
        <f>IFERROR(__xludf.DUMMYFUNCTION("IFERROR(INDEX(FILTER('棲息地'!$B$2:$B995 &amp; "" / "" &amp; '棲息地'!$C$2:$C995, ISNUMBER(SEARCH($B246, '棲息地'!$D$2:$D995))), 1), """")"),"粉色的草叢 / 粉紅草 ×4")</f>
        <v>粉色的草叢 / 粉紅草 ×4</v>
      </c>
      <c r="I246" s="36" t="str">
        <f>IFERROR(__xludf.DUMMYFUNCTION("IFERROR(INDEX(FILTER('棲息地'!$D$2:$D995, ISNUMBER(SEARCH($B246, '棲息地'!$D$2:$D995))), 1), """")"),"大顎蟻、超音波幼蟲、沙漠蜻蜓、青綿鳥、夜巡靈")</f>
        <v>大顎蟻、超音波幼蟲、沙漠蜻蜓、青綿鳥、夜巡靈</v>
      </c>
      <c r="J246" s="36" t="str">
        <f>IFERROR(__xludf.DUMMYFUNCTION("IFERROR(INDEX(FILTER('棲息地'!$B$2:$B995 &amp; "" / "" &amp; '棲息地'!$C$2:$C995, ISNUMBER(SEARCH($B246, '棲息地'!$D$2:$D995))), 2), """")"),"")</f>
        <v/>
      </c>
      <c r="K246" s="36" t="str">
        <f>IFERROR(__xludf.DUMMYFUNCTION("IFERROR(INDEX(FILTER('棲息地'!$D$2:$D995, ISNUMBER(SEARCH($B246, '棲息地'!$D$2:$D995))), 2), """")"),"")</f>
        <v/>
      </c>
      <c r="L246" s="36" t="str">
        <f>IFERROR(__xludf.DUMMYFUNCTION("IFERROR(INDEX(FILTER('棲息地'!$D$2:$D995, ISNUMBER(SEARCH($B246, '棲息地'!$D$2:$D995))), 3), """")"),"")</f>
        <v/>
      </c>
      <c r="M246" s="36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22.5" customHeight="1">
      <c r="A247" s="33" t="s">
        <v>1829</v>
      </c>
      <c r="B247" s="34" t="s">
        <v>1830</v>
      </c>
      <c r="C247" s="35" t="s">
        <v>1517</v>
      </c>
      <c r="D247" s="34" t="s">
        <v>1080</v>
      </c>
      <c r="E247" s="35" t="s">
        <v>1200</v>
      </c>
      <c r="F247" s="35" t="s">
        <v>1831</v>
      </c>
      <c r="G247" s="35" t="s">
        <v>1087</v>
      </c>
      <c r="H247" s="36" t="str">
        <f>IFERROR(__xludf.DUMMYFUNCTION("IFERROR(INDEX(FILTER('棲息地'!$B$2:$B995 &amp; "" / "" &amp; '棲息地'!$C$2:$C995, ISNUMBER(SEARCH($B247, '棲息地'!$D$2:$D995))), 1), """")"),"垃圾場的電視 / 垃圾袋 ×2、電視 ×1")</f>
        <v>垃圾場的電視 / 垃圾袋 ×2、電視 ×1</v>
      </c>
      <c r="I247" s="36" t="str">
        <f>IFERROR(__xludf.DUMMYFUNCTION("IFERROR(INDEX(FILTER('棲息地'!$D$2:$D995, ISNUMBER(SEARCH($B247, '棲息地'!$D$2:$D995))), 1), """")"),"彷徨夜靈、黑夜魔靈（★★）")</f>
        <v>彷徨夜靈、黑夜魔靈（★★）</v>
      </c>
      <c r="J247" s="36" t="str">
        <f>IFERROR(__xludf.DUMMYFUNCTION("IFERROR(INDEX(FILTER('棲息地'!$B$2:$B995 &amp; "" / "" &amp; '棲息地'!$C$2:$C995, ISNUMBER(SEARCH($B247, '棲息地'!$D$2:$D995))), 2), """")"),"")</f>
        <v/>
      </c>
      <c r="K247" s="36" t="str">
        <f>IFERROR(__xludf.DUMMYFUNCTION("IFERROR(INDEX(FILTER('棲息地'!$D$2:$D995, ISNUMBER(SEARCH($B247, '棲息地'!$D$2:$D995))), 2), """")"),"")</f>
        <v/>
      </c>
      <c r="L247" s="36" t="str">
        <f>IFERROR(__xludf.DUMMYFUNCTION("IFERROR(INDEX(FILTER('棲息地'!$D$2:$D995, ISNUMBER(SEARCH($B247, '棲息地'!$D$2:$D995))), 3), """")"),"")</f>
        <v/>
      </c>
      <c r="M247" s="36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22.5" customHeight="1">
      <c r="A248" s="33" t="s">
        <v>1832</v>
      </c>
      <c r="B248" s="34" t="s">
        <v>1833</v>
      </c>
      <c r="C248" s="35" t="s">
        <v>1380</v>
      </c>
      <c r="D248" s="34" t="s">
        <v>1080</v>
      </c>
      <c r="E248" s="35" t="s">
        <v>1200</v>
      </c>
      <c r="F248" s="35" t="s">
        <v>1834</v>
      </c>
      <c r="G248" s="35" t="s">
        <v>1125</v>
      </c>
      <c r="H248" s="36" t="str">
        <f>IFERROR(__xludf.DUMMYFUNCTION("IFERROR(INDEX(FILTER('棲息地'!$B$2:$B995 &amp; "" / "" &amp; '棲息地'!$C$2:$C995, ISNUMBER(SEARCH($B248, '棲息地'!$D$2:$D995))), 1), """")"),"垃圾場的電視 / 垃圾袋 ×2、電視 ×1")</f>
        <v>垃圾場的電視 / 垃圾袋 ×2、電視 ×1</v>
      </c>
      <c r="I248" s="36" t="str">
        <f>IFERROR(__xludf.DUMMYFUNCTION("IFERROR(INDEX(FILTER('棲息地'!$D$2:$D995, ISNUMBER(SEARCH($B248, '棲息地'!$D$2:$D995))), 1), """")"),"彷徨夜靈、黑夜魔靈（★★）")</f>
        <v>彷徨夜靈、黑夜魔靈（★★）</v>
      </c>
      <c r="J248" s="36" t="str">
        <f>IFERROR(__xludf.DUMMYFUNCTION("IFERROR(INDEX(FILTER('棲息地'!$B$2:$B995 &amp; "" / "" &amp; '棲息地'!$C$2:$C995, ISNUMBER(SEARCH($B248, '棲息地'!$D$2:$D995))), 2), """")"),"")</f>
        <v/>
      </c>
      <c r="K248" s="36" t="str">
        <f>IFERROR(__xludf.DUMMYFUNCTION("IFERROR(INDEX(FILTER('棲息地'!$D$2:$D995, ISNUMBER(SEARCH($B248, '棲息地'!$D$2:$D995))), 2), """")"),"")</f>
        <v/>
      </c>
      <c r="L248" s="36" t="str">
        <f>IFERROR(__xludf.DUMMYFUNCTION("IFERROR(INDEX(FILTER('棲息地'!$D$2:$D995, ISNUMBER(SEARCH($B248, '棲息地'!$D$2:$D995))), 3), """")"),"")</f>
        <v/>
      </c>
      <c r="M248" s="36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22.5" customHeight="1">
      <c r="A249" s="33" t="s">
        <v>1835</v>
      </c>
      <c r="B249" s="34" t="s">
        <v>1836</v>
      </c>
      <c r="C249" s="35" t="s">
        <v>1199</v>
      </c>
      <c r="D249" s="34" t="s">
        <v>1080</v>
      </c>
      <c r="E249" s="35" t="s">
        <v>1351</v>
      </c>
      <c r="F249" s="35" t="s">
        <v>1837</v>
      </c>
      <c r="G249" s="35" t="s">
        <v>1087</v>
      </c>
      <c r="H249" s="36" t="str">
        <f>IFERROR(__xludf.DUMMYFUNCTION("IFERROR(INDEX(FILTER('棲息地'!$B$2:$B995 &amp; "" / "" &amp; '棲息地'!$C$2:$C995, ISNUMBER(SEARCH($B249, '棲息地'!$D$2:$D995))), 1), """")"),"騎行中休息 / 自動販賣機 ×4、自行車 ×1")</f>
        <v>騎行中休息 / 自動販賣機 ×4、自行車 ×1</v>
      </c>
      <c r="I249" s="36" t="str">
        <f>IFERROR(__xludf.DUMMYFUNCTION("IFERROR(INDEX(FILTER('棲息地'!$D$2:$D995, ISNUMBER(SEARCH($B249, '棲息地'!$D$2:$D995))), 1), """")"),"鐵啞鈴（★）")</f>
        <v>鐵啞鈴（★）</v>
      </c>
      <c r="J249" s="36" t="str">
        <f>IFERROR(__xludf.DUMMYFUNCTION("IFERROR(INDEX(FILTER('棲息地'!$B$2:$B995 &amp; "" / "" &amp; '棲息地'!$C$2:$C995, ISNUMBER(SEARCH($B249, '棲息地'!$D$2:$D995))), 2), """")"),"")</f>
        <v/>
      </c>
      <c r="K249" s="36" t="str">
        <f>IFERROR(__xludf.DUMMYFUNCTION("IFERROR(INDEX(FILTER('棲息地'!$D$2:$D995, ISNUMBER(SEARCH($B249, '棲息地'!$D$2:$D995))), 2), """")"),"")</f>
        <v/>
      </c>
      <c r="L249" s="36" t="str">
        <f>IFERROR(__xludf.DUMMYFUNCTION("IFERROR(INDEX(FILTER('棲息地'!$D$2:$D995, ISNUMBER(SEARCH($B249, '棲息地'!$D$2:$D995))), 3), """")"),"")</f>
        <v/>
      </c>
      <c r="M249" s="36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22.5" customHeight="1">
      <c r="A250" s="33" t="s">
        <v>1838</v>
      </c>
      <c r="B250" s="34" t="s">
        <v>848</v>
      </c>
      <c r="C250" s="35" t="s">
        <v>1199</v>
      </c>
      <c r="D250" s="34" t="s">
        <v>1080</v>
      </c>
      <c r="E250" s="35" t="s">
        <v>1351</v>
      </c>
      <c r="F250" s="35" t="s">
        <v>1837</v>
      </c>
      <c r="G250" s="35" t="s">
        <v>1125</v>
      </c>
      <c r="H250" s="36" t="str">
        <f>IFERROR(__xludf.DUMMYFUNCTION("IFERROR(INDEX(FILTER('棲息地'!$B$2:$B995 &amp; "" / "" &amp; '棲息地'!$C$2:$C995, ISNUMBER(SEARCH($B250, '棲息地'!$D$2:$D995))), 1), """")"),"以博士為目標研究中 / 桌子 ×1")</f>
        <v>以博士為目標研究中 / 桌子 ×1</v>
      </c>
      <c r="I250" s="36" t="str">
        <f>IFERROR(__xludf.DUMMYFUNCTION("IFERROR(INDEX(FILTER('棲息地'!$D$2:$D995, ISNUMBER(SEARCH($B250, '棲息地'!$D$2:$D995))), 1), """")"),"金屬怪")</f>
        <v>金屬怪</v>
      </c>
      <c r="J250" s="36" t="str">
        <f>IFERROR(__xludf.DUMMYFUNCTION("IFERROR(INDEX(FILTER('棲息地'!$B$2:$B995 &amp; "" / "" &amp; '棲息地'!$C$2:$C995, ISNUMBER(SEARCH($B250, '棲息地'!$D$2:$D995))), 2), """")"),"")</f>
        <v/>
      </c>
      <c r="K250" s="36" t="str">
        <f>IFERROR(__xludf.DUMMYFUNCTION("IFERROR(INDEX(FILTER('棲息地'!$D$2:$D995, ISNUMBER(SEARCH($B250, '棲息地'!$D$2:$D995))), 2), """")"),"")</f>
        <v/>
      </c>
      <c r="L250" s="36" t="str">
        <f>IFERROR(__xludf.DUMMYFUNCTION("IFERROR(INDEX(FILTER('棲息地'!$D$2:$D995, ISNUMBER(SEARCH($B250, '棲息地'!$D$2:$D995))), 3), """")"),"")</f>
        <v/>
      </c>
      <c r="M250" s="36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22.5" customHeight="1">
      <c r="A251" s="33" t="s">
        <v>1839</v>
      </c>
      <c r="B251" s="34" t="s">
        <v>1840</v>
      </c>
      <c r="C251" s="35" t="s">
        <v>1841</v>
      </c>
      <c r="D251" s="34" t="s">
        <v>1080</v>
      </c>
      <c r="E251" s="35" t="s">
        <v>1351</v>
      </c>
      <c r="F251" s="35" t="s">
        <v>1842</v>
      </c>
      <c r="G251" s="35" t="s">
        <v>1129</v>
      </c>
      <c r="H251" s="36" t="str">
        <f>IFERROR(__xludf.DUMMYFUNCTION("IFERROR(INDEX(FILTER('棲息地'!$B$2:$B995 &amp; "" / "" &amp; '棲息地'!$C$2:$C995, ISNUMBER(SEARCH($B251, '棲息地'!$D$2:$D995))), 1), """")"),"絕佳的遊戲環境 / 電競床/椅/冰箱/電腦/桌子 各1")</f>
        <v>絕佳的遊戲環境 / 電競床/椅/冰箱/電腦/桌子 各1</v>
      </c>
      <c r="I251" s="36" t="str">
        <f>IFERROR(__xludf.DUMMYFUNCTION("IFERROR(INDEX(FILTER('棲息地'!$D$2:$D995, ISNUMBER(SEARCH($B251, '棲息地'!$D$2:$D995))), 1), """")"),"巨金怪（★★）")</f>
        <v>巨金怪（★★）</v>
      </c>
      <c r="J251" s="36" t="str">
        <f>IFERROR(__xludf.DUMMYFUNCTION("IFERROR(INDEX(FILTER('棲息地'!$B$2:$B995 &amp; "" / "" &amp; '棲息地'!$C$2:$C995, ISNUMBER(SEARCH($B251, '棲息地'!$D$2:$D995))), 2), """")"),"")</f>
        <v/>
      </c>
      <c r="K251" s="36" t="str">
        <f>IFERROR(__xludf.DUMMYFUNCTION("IFERROR(INDEX(FILTER('棲息地'!$D$2:$D995, ISNUMBER(SEARCH($B251, '棲息地'!$D$2:$D995))), 2), """")"),"")</f>
        <v/>
      </c>
      <c r="L251" s="36" t="str">
        <f>IFERROR(__xludf.DUMMYFUNCTION("IFERROR(INDEX(FILTER('棲息地'!$D$2:$D995, ISNUMBER(SEARCH($B251, '棲息地'!$D$2:$D995))), 3), """")"),"")</f>
        <v/>
      </c>
      <c r="M251" s="36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22.5" customHeight="1">
      <c r="A252" s="33" t="s">
        <v>1843</v>
      </c>
      <c r="B252" s="34" t="s">
        <v>828</v>
      </c>
      <c r="C252" s="35" t="s">
        <v>1089</v>
      </c>
      <c r="D252" s="35" t="s">
        <v>1151</v>
      </c>
      <c r="E252" s="35" t="s">
        <v>1103</v>
      </c>
      <c r="F252" s="35" t="s">
        <v>1844</v>
      </c>
      <c r="G252" s="35" t="s">
        <v>1087</v>
      </c>
      <c r="H252" s="36" t="str">
        <f>IFERROR(__xludf.DUMMYFUNCTION("IFERROR(INDEX(FILTER('棲息地'!$B$2:$B995 &amp; "" / "" &amp; '棲息地'!$C$2:$C995, ISNUMBER(SEARCH($B252, '棲息地'!$D$2:$D995))), 1), """")"),"遊樂園 / 玩具(任意) ×1")</f>
        <v>遊樂園 / 玩具(任意) ×1</v>
      </c>
      <c r="I252" s="36" t="str">
        <f>IFERROR(__xludf.DUMMYFUNCTION("IFERROR(INDEX(FILTER('棲息地'!$D$2:$D995, ISNUMBER(SEARCH($B252, '棲息地'!$D$2:$D995))), 1), """")"),"藤藤蛇")</f>
        <v>藤藤蛇</v>
      </c>
      <c r="J252" s="36" t="str">
        <f>IFERROR(__xludf.DUMMYFUNCTION("IFERROR(INDEX(FILTER('棲息地'!$B$2:$B995 &amp; "" / "" &amp; '棲息地'!$C$2:$C995, ISNUMBER(SEARCH($B252, '棲息地'!$D$2:$D995))), 2), """")"),"")</f>
        <v/>
      </c>
      <c r="K252" s="36" t="str">
        <f>IFERROR(__xludf.DUMMYFUNCTION("IFERROR(INDEX(FILTER('棲息地'!$D$2:$D995, ISNUMBER(SEARCH($B252, '棲息地'!$D$2:$D995))), 2), """")"),"")</f>
        <v/>
      </c>
      <c r="L252" s="36" t="str">
        <f>IFERROR(__xludf.DUMMYFUNCTION("IFERROR(INDEX(FILTER('棲息地'!$D$2:$D995, ISNUMBER(SEARCH($B252, '棲息地'!$D$2:$D995))), 3), """")"),"")</f>
        <v/>
      </c>
      <c r="M252" s="36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22.5" customHeight="1">
      <c r="A253" s="33" t="s">
        <v>1845</v>
      </c>
      <c r="B253" s="34" t="s">
        <v>1846</v>
      </c>
      <c r="C253" s="35" t="s">
        <v>1089</v>
      </c>
      <c r="D253" s="35" t="s">
        <v>1151</v>
      </c>
      <c r="E253" s="35" t="s">
        <v>1103</v>
      </c>
      <c r="F253" s="35" t="s">
        <v>1847</v>
      </c>
      <c r="G253" s="35" t="s">
        <v>1125</v>
      </c>
      <c r="H253" s="36" t="str">
        <f>IFERROR(__xludf.DUMMYFUNCTION("IFERROR(INDEX(FILTER('棲息地'!$B$2:$B995 &amp; "" / "" &amp; '棲息地'!$C$2:$C995, ISNUMBER(SEARCH($B253, '棲息地'!$D$2:$D995))), 1), """")"),"樹蔭的軟綿綿花田 / 大樹 ×1、浮島之花 ×4")</f>
        <v>樹蔭的軟綿綿花田 / 大樹 ×1、浮島之花 ×4</v>
      </c>
      <c r="I253" s="36" t="str">
        <f>IFERROR(__xludf.DUMMYFUNCTION("IFERROR(INDEX(FILTER('棲息地'!$D$2:$D995, ISNUMBER(SEARCH($B253, '棲息地'!$D$2:$D995))), 1), """")"),"麒麟奇、奇麒麟、青藤蛇")</f>
        <v>麒麟奇、奇麒麟、青藤蛇</v>
      </c>
      <c r="J253" s="36" t="str">
        <f>IFERROR(__xludf.DUMMYFUNCTION("IFERROR(INDEX(FILTER('棲息地'!$B$2:$B995 &amp; "" / "" &amp; '棲息地'!$C$2:$C995, ISNUMBER(SEARCH($B253, '棲息地'!$D$2:$D995))), 2), """")"),"")</f>
        <v/>
      </c>
      <c r="K253" s="36" t="str">
        <f>IFERROR(__xludf.DUMMYFUNCTION("IFERROR(INDEX(FILTER('棲息地'!$D$2:$D995, ISNUMBER(SEARCH($B253, '棲息地'!$D$2:$D995))), 2), """")"),"")</f>
        <v/>
      </c>
      <c r="L253" s="36" t="str">
        <f>IFERROR(__xludf.DUMMYFUNCTION("IFERROR(INDEX(FILTER('棲息地'!$D$2:$D995, ISNUMBER(SEARCH($B253, '棲息地'!$D$2:$D995))), 3), """")"),"")</f>
        <v/>
      </c>
      <c r="M253" s="36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22.5" customHeight="1">
      <c r="A254" s="33" t="s">
        <v>1848</v>
      </c>
      <c r="B254" s="34" t="s">
        <v>1849</v>
      </c>
      <c r="C254" s="35" t="s">
        <v>1089</v>
      </c>
      <c r="D254" s="35" t="s">
        <v>1151</v>
      </c>
      <c r="E254" s="35" t="s">
        <v>1103</v>
      </c>
      <c r="F254" s="35" t="s">
        <v>1850</v>
      </c>
      <c r="G254" s="35" t="s">
        <v>1129</v>
      </c>
      <c r="H254" s="36" t="str">
        <f>IFERROR(__xludf.DUMMYFUNCTION("IFERROR(INDEX(FILTER('棲息地'!$B$2:$B995 &amp; "" / "" &amp; '棲息地'!$C$2:$C995, ISNUMBER(SEARCH($B254, '棲息地'!$D$2:$D995))), 1), """")"),"歡迎閱讀 / 塞滿的書架 ×1、報紙 ×1")</f>
        <v>歡迎閱讀 / 塞滿的書架 ×1、報紙 ×1</v>
      </c>
      <c r="I254" s="36" t="str">
        <f>IFERROR(__xludf.DUMMYFUNCTION("IFERROR(INDEX(FILTER('棲息地'!$D$2:$D995, ISNUMBER(SEARCH($B254, '棲息地'!$D$2:$D995))), 1), """")"),"魔尼尼（★）、君主蛇（★★）")</f>
        <v>魔尼尼（★）、君主蛇（★★）</v>
      </c>
      <c r="J254" s="36" t="str">
        <f>IFERROR(__xludf.DUMMYFUNCTION("IFERROR(INDEX(FILTER('棲息地'!$B$2:$B995 &amp; "" / "" &amp; '棲息地'!$C$2:$C995, ISNUMBER(SEARCH($B254, '棲息地'!$D$2:$D995))), 2), """")"),"")</f>
        <v/>
      </c>
      <c r="K254" s="36" t="str">
        <f>IFERROR(__xludf.DUMMYFUNCTION("IFERROR(INDEX(FILTER('棲息地'!$D$2:$D995, ISNUMBER(SEARCH($B254, '棲息地'!$D$2:$D995))), 2), """")"),"")</f>
        <v/>
      </c>
      <c r="L254" s="36" t="str">
        <f>IFERROR(__xludf.DUMMYFUNCTION("IFERROR(INDEX(FILTER('棲息地'!$D$2:$D995, ISNUMBER(SEARCH($B254, '棲息地'!$D$2:$D995))), 3), """")"),"")</f>
        <v/>
      </c>
      <c r="M254" s="36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22.5" customHeight="1">
      <c r="A255" s="33" t="s">
        <v>1851</v>
      </c>
      <c r="B255" s="34" t="s">
        <v>1852</v>
      </c>
      <c r="C255" s="35" t="s">
        <v>1103</v>
      </c>
      <c r="D255" s="34" t="s">
        <v>1080</v>
      </c>
      <c r="E255" s="35" t="s">
        <v>1103</v>
      </c>
      <c r="F255" s="35" t="s">
        <v>1853</v>
      </c>
      <c r="G255" s="35" t="s">
        <v>1095</v>
      </c>
      <c r="H255" s="36" t="str">
        <f>IFERROR(__xludf.DUMMYFUNCTION("IFERROR(INDEX(FILTER('棲息地'!$B$2:$B995 &amp; "" / "" &amp; '棲息地'!$C$2:$C995, ISNUMBER(SEARCH($B255, '棲息地'!$D$2:$D995))), 1), """")"),"濕潤的粉色草叢 / 粉紅草 ×4、水 ×2")</f>
        <v>濕潤的粉色草叢 / 粉紅草 ×4、水 ×2</v>
      </c>
      <c r="I255" s="36" t="str">
        <f>IFERROR(__xludf.DUMMYFUNCTION("IFERROR(INDEX(FILTER('棲息地'!$D$2:$D995, ISNUMBER(SEARCH($B255, '棲息地'!$D$2:$D995))), 1), """")"),"呱呱泡蛙、呱頭蛙、甲賀忍蛙")</f>
        <v>呱呱泡蛙、呱頭蛙、甲賀忍蛙</v>
      </c>
      <c r="J255" s="36" t="str">
        <f>IFERROR(__xludf.DUMMYFUNCTION("IFERROR(INDEX(FILTER('棲息地'!$B$2:$B995 &amp; "" / "" &amp; '棲息地'!$C$2:$C995, ISNUMBER(SEARCH($B255, '棲息地'!$D$2:$D995))), 2), """")"),"")</f>
        <v/>
      </c>
      <c r="K255" s="36" t="str">
        <f>IFERROR(__xludf.DUMMYFUNCTION("IFERROR(INDEX(FILTER('棲息地'!$D$2:$D995, ISNUMBER(SEARCH($B255, '棲息地'!$D$2:$D995))), 2), """")"),"")</f>
        <v/>
      </c>
      <c r="L255" s="36" t="str">
        <f>IFERROR(__xludf.DUMMYFUNCTION("IFERROR(INDEX(FILTER('棲息地'!$D$2:$D995, ISNUMBER(SEARCH($B255, '棲息地'!$D$2:$D995))), 3), """")"),"")</f>
        <v/>
      </c>
      <c r="M255" s="36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22.5" customHeight="1">
      <c r="A256" s="33" t="s">
        <v>1854</v>
      </c>
      <c r="B256" s="34" t="s">
        <v>1855</v>
      </c>
      <c r="C256" s="35" t="s">
        <v>1103</v>
      </c>
      <c r="D256" s="34" t="s">
        <v>1080</v>
      </c>
      <c r="E256" s="35" t="s">
        <v>1103</v>
      </c>
      <c r="F256" s="35" t="s">
        <v>1856</v>
      </c>
      <c r="G256" s="35" t="s">
        <v>1095</v>
      </c>
      <c r="H256" s="36" t="str">
        <f>IFERROR(__xludf.DUMMYFUNCTION("IFERROR(INDEX(FILTER('棲息地'!$B$2:$B995 &amp; "" / "" &amp; '棲息地'!$C$2:$C995, ISNUMBER(SEARCH($B256, '棲息地'!$D$2:$D995))), 1), """")"),"濕潤的粉色草叢 / 粉紅草 ×4、水 ×2")</f>
        <v>濕潤的粉色草叢 / 粉紅草 ×4、水 ×2</v>
      </c>
      <c r="I256" s="36" t="str">
        <f>IFERROR(__xludf.DUMMYFUNCTION("IFERROR(INDEX(FILTER('棲息地'!$D$2:$D995, ISNUMBER(SEARCH($B256, '棲息地'!$D$2:$D995))), 1), """")"),"呱呱泡蛙、呱頭蛙、甲賀忍蛙")</f>
        <v>呱呱泡蛙、呱頭蛙、甲賀忍蛙</v>
      </c>
      <c r="J256" s="36" t="str">
        <f>IFERROR(__xludf.DUMMYFUNCTION("IFERROR(INDEX(FILTER('棲息地'!$B$2:$B995 &amp; "" / "" &amp; '棲息地'!$C$2:$C995, ISNUMBER(SEARCH($B256, '棲息地'!$D$2:$D995))), 2), """")"),"惡作劇開關 / 驚喜盒 ×1、平板電腦 ×1")</f>
        <v>惡作劇開關 / 驚喜盒 ×1、平板電腦 ×1</v>
      </c>
      <c r="K256" s="36" t="str">
        <f>IFERROR(__xludf.DUMMYFUNCTION("IFERROR(INDEX(FILTER('棲息地'!$D$2:$D995, ISNUMBER(SEARCH($B256, '棲息地'!$D$2:$D995))), 2), """")"),"呱頭蛙（★）、甲賀忍蛙（★★）")</f>
        <v>呱頭蛙（★）、甲賀忍蛙（★★）</v>
      </c>
      <c r="L256" s="36" t="str">
        <f>IFERROR(__xludf.DUMMYFUNCTION("IFERROR(INDEX(FILTER('棲息地'!$D$2:$D995, ISNUMBER(SEARCH($B256, '棲息地'!$D$2:$D995))), 3), """")"),"")</f>
        <v/>
      </c>
      <c r="M256" s="36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22.5" customHeight="1">
      <c r="A257" s="33" t="s">
        <v>1857</v>
      </c>
      <c r="B257" s="34" t="s">
        <v>1858</v>
      </c>
      <c r="C257" s="35" t="s">
        <v>1859</v>
      </c>
      <c r="D257" s="34" t="s">
        <v>1080</v>
      </c>
      <c r="E257" s="35" t="s">
        <v>1103</v>
      </c>
      <c r="F257" s="35" t="s">
        <v>1860</v>
      </c>
      <c r="G257" s="35" t="s">
        <v>1125</v>
      </c>
      <c r="H257" s="36" t="str">
        <f>IFERROR(__xludf.DUMMYFUNCTION("IFERROR(INDEX(FILTER('棲息地'!$B$2:$B995 &amp; "" / "" &amp; '棲息地'!$C$2:$C995, ISNUMBER(SEARCH($B257, '棲息地'!$D$2:$D995))), 1), """")"),"濕潤的粉色草叢 / 粉紅草 ×4、水 ×2")</f>
        <v>濕潤的粉色草叢 / 粉紅草 ×4、水 ×2</v>
      </c>
      <c r="I257" s="36" t="str">
        <f>IFERROR(__xludf.DUMMYFUNCTION("IFERROR(INDEX(FILTER('棲息地'!$D$2:$D995, ISNUMBER(SEARCH($B257, '棲息地'!$D$2:$D995))), 1), """")"),"呱呱泡蛙、呱頭蛙、甲賀忍蛙")</f>
        <v>呱呱泡蛙、呱頭蛙、甲賀忍蛙</v>
      </c>
      <c r="J257" s="36" t="str">
        <f>IFERROR(__xludf.DUMMYFUNCTION("IFERROR(INDEX(FILTER('棲息地'!$B$2:$B995 &amp; "" / "" &amp; '棲息地'!$C$2:$C995, ISNUMBER(SEARCH($B257, '棲息地'!$D$2:$D995))), 2), """")"),"惡作劇開關 / 驚喜盒 ×1、平板電腦 ×1")</f>
        <v>惡作劇開關 / 驚喜盒 ×1、平板電腦 ×1</v>
      </c>
      <c r="K257" s="36" t="str">
        <f>IFERROR(__xludf.DUMMYFUNCTION("IFERROR(INDEX(FILTER('棲息地'!$D$2:$D995, ISNUMBER(SEARCH($B257, '棲息地'!$D$2:$D995))), 2), """")"),"呱頭蛙（★）、甲賀忍蛙（★★）")</f>
        <v>呱頭蛙（★）、甲賀忍蛙（★★）</v>
      </c>
      <c r="L257" s="36" t="str">
        <f>IFERROR(__xludf.DUMMYFUNCTION("IFERROR(INDEX(FILTER('棲息地'!$D$2:$D995, ISNUMBER(SEARCH($B257, '棲息地'!$D$2:$D995))), 3), """")"),"")</f>
        <v/>
      </c>
      <c r="M257" s="36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22.5" customHeight="1">
      <c r="A258" s="33" t="s">
        <v>1861</v>
      </c>
      <c r="B258" s="34" t="s">
        <v>1862</v>
      </c>
      <c r="C258" s="35" t="s">
        <v>1139</v>
      </c>
      <c r="D258" s="34" t="s">
        <v>1080</v>
      </c>
      <c r="E258" s="35" t="s">
        <v>1081</v>
      </c>
      <c r="F258" s="35" t="s">
        <v>1863</v>
      </c>
      <c r="G258" s="35" t="s">
        <v>1083</v>
      </c>
      <c r="H258" s="36" t="str">
        <f>IFERROR(__xludf.DUMMYFUNCTION("IFERROR(INDEX(FILTER('棲息地'!$B$2:$B995 &amp; "" / "" &amp; '棲息地'!$C$2:$C995, ISNUMBER(SEARCH($B258, '棲息地'!$D$2:$D995))), 1), """")"),"輪胎公園 / 跳輪胎 ×2、輪胎 ×1、溜滑梯 ×1")</f>
        <v>輪胎公園 / 跳輪胎 ×2、輪胎 ×1、溜滑梯 ×1</v>
      </c>
      <c r="I258" s="36" t="str">
        <f>IFERROR(__xludf.DUMMYFUNCTION("IFERROR(INDEX(FILTER('棲息地'!$D$2:$D995, ISNUMBER(SEARCH($B258, '棲息地'!$D$2:$D995))), 1), """")"),"咚咚鼠(亮晶晶空島)")</f>
        <v>咚咚鼠(亮晶晶空島)</v>
      </c>
      <c r="J258" s="36" t="str">
        <f>IFERROR(__xludf.DUMMYFUNCTION("IFERROR(INDEX(FILTER('棲息地'!$B$2:$B995 &amp; "" / "" &amp; '棲息地'!$C$2:$C995, ISNUMBER(SEARCH($B258, '棲息地'!$D$2:$D995))), 2), """")"),"")</f>
        <v/>
      </c>
      <c r="K258" s="36" t="str">
        <f>IFERROR(__xludf.DUMMYFUNCTION("IFERROR(INDEX(FILTER('棲息地'!$D$2:$D995, ISNUMBER(SEARCH($B258, '棲息地'!$D$2:$D995))), 2), """")"),"")</f>
        <v/>
      </c>
      <c r="L258" s="36" t="str">
        <f>IFERROR(__xludf.DUMMYFUNCTION("IFERROR(INDEX(FILTER('棲息地'!$D$2:$D995, ISNUMBER(SEARCH($B258, '棲息地'!$D$2:$D995))), 3), """")"),"")</f>
        <v/>
      </c>
      <c r="M258" s="36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22.5" customHeight="1">
      <c r="A259" s="33" t="s">
        <v>1864</v>
      </c>
      <c r="B259" s="34" t="s">
        <v>1865</v>
      </c>
      <c r="C259" s="35" t="s">
        <v>1139</v>
      </c>
      <c r="D259" s="34" t="s">
        <v>1080</v>
      </c>
      <c r="E259" s="35" t="s">
        <v>1200</v>
      </c>
      <c r="F259" s="35" t="s">
        <v>1866</v>
      </c>
      <c r="G259" s="35" t="s">
        <v>1095</v>
      </c>
      <c r="H259" s="36" t="str">
        <f>IFERROR(__xludf.DUMMYFUNCTION("IFERROR(INDEX(FILTER('棲息地'!$B$2:$B995 &amp; "" / "" &amp; '棲息地'!$C$2:$C995, ISNUMBER(SEARCH($B259, '棲息地'!$D$2:$D995))), 1), """")"),"律動客廳 / 音符墊 ×4、音響 ×2、電視 ×1")</f>
        <v>律動客廳 / 音符墊 ×4、音響 ×2、電視 ×1</v>
      </c>
      <c r="I259" s="36" t="str">
        <f>IFERROR(__xludf.DUMMYFUNCTION("IFERROR(INDEX(FILTER('棲息地'!$D$2:$D995, ISNUMBER(SEARCH($B259, '棲息地'!$D$2:$D995))), 1), """")"),"嗡蝠（★）、音波龍（★★）")</f>
        <v>嗡蝠（★）、音波龍（★★）</v>
      </c>
      <c r="J259" s="36" t="str">
        <f>IFERROR(__xludf.DUMMYFUNCTION("IFERROR(INDEX(FILTER('棲息地'!$B$2:$B995 &amp; "" / "" &amp; '棲息地'!$C$2:$C995, ISNUMBER(SEARCH($B259, '棲息地'!$D$2:$D995))), 2), """")"),"")</f>
        <v/>
      </c>
      <c r="K259" s="36" t="str">
        <f>IFERROR(__xludf.DUMMYFUNCTION("IFERROR(INDEX(FILTER('棲息地'!$D$2:$D995, ISNUMBER(SEARCH($B259, '棲息地'!$D$2:$D995))), 2), """")"),"")</f>
        <v/>
      </c>
      <c r="L259" s="36" t="str">
        <f>IFERROR(__xludf.DUMMYFUNCTION("IFERROR(INDEX(FILTER('棲息地'!$D$2:$D995, ISNUMBER(SEARCH($B259, '棲息地'!$D$2:$D995))), 3), """")"),"")</f>
        <v/>
      </c>
      <c r="M259" s="36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22.5" customHeight="1">
      <c r="A260" s="33" t="s">
        <v>1867</v>
      </c>
      <c r="B260" s="34" t="s">
        <v>1868</v>
      </c>
      <c r="C260" s="35" t="s">
        <v>1113</v>
      </c>
      <c r="D260" s="34" t="s">
        <v>1080</v>
      </c>
      <c r="E260" s="35" t="s">
        <v>1200</v>
      </c>
      <c r="F260" s="35" t="s">
        <v>1869</v>
      </c>
      <c r="G260" s="35" t="s">
        <v>1129</v>
      </c>
      <c r="H260" s="36" t="str">
        <f>IFERROR(__xludf.DUMMYFUNCTION("IFERROR(INDEX(FILTER('棲息地'!$B$2:$B995 &amp; "" / "" &amp; '棲息地'!$C$2:$C995, ISNUMBER(SEARCH($B260, '棲息地'!$D$2:$D995))), 1), """")"),"律動客廳 / 音符墊 ×4、音響 ×2、電視 ×1")</f>
        <v>律動客廳 / 音符墊 ×4、音響 ×2、電視 ×1</v>
      </c>
      <c r="I260" s="36" t="str">
        <f>IFERROR(__xludf.DUMMYFUNCTION("IFERROR(INDEX(FILTER('棲息地'!$D$2:$D995, ISNUMBER(SEARCH($B260, '棲息地'!$D$2:$D995))), 1), """")"),"嗡蝠（★）、音波龍（★★）")</f>
        <v>嗡蝠（★）、音波龍（★★）</v>
      </c>
      <c r="J260" s="36" t="str">
        <f>IFERROR(__xludf.DUMMYFUNCTION("IFERROR(INDEX(FILTER('棲息地'!$B$2:$B995 &amp; "" / "" &amp; '棲息地'!$C$2:$C995, ISNUMBER(SEARCH($B260, '棲息地'!$D$2:$D995))), 2), """")"),"")</f>
        <v/>
      </c>
      <c r="K260" s="36" t="str">
        <f>IFERROR(__xludf.DUMMYFUNCTION("IFERROR(INDEX(FILTER('棲息地'!$D$2:$D995, ISNUMBER(SEARCH($B260, '棲息地'!$D$2:$D995))), 2), """")"),"")</f>
        <v/>
      </c>
      <c r="L260" s="36" t="str">
        <f>IFERROR(__xludf.DUMMYFUNCTION("IFERROR(INDEX(FILTER('棲息地'!$D$2:$D995, ISNUMBER(SEARCH($B260, '棲息地'!$D$2:$D995))), 3), """")"),"")</f>
        <v/>
      </c>
      <c r="M260" s="36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22.5" customHeight="1">
      <c r="A261" s="33" t="s">
        <v>1870</v>
      </c>
      <c r="B261" s="34" t="s">
        <v>1871</v>
      </c>
      <c r="C261" s="35" t="s">
        <v>1215</v>
      </c>
      <c r="D261" s="34" t="s">
        <v>1080</v>
      </c>
      <c r="E261" s="35" t="s">
        <v>1081</v>
      </c>
      <c r="F261" s="35" t="s">
        <v>1872</v>
      </c>
      <c r="G261" s="35" t="s">
        <v>1087</v>
      </c>
      <c r="H261" s="36" t="str">
        <f>IFERROR(__xludf.DUMMYFUNCTION("IFERROR(INDEX(FILTER('棲息地'!$B$2:$B995 &amp; "" / "" &amp; '棲息地'!$C$2:$C995, ISNUMBER(SEARCH($B261, '棲息地'!$D$2:$D995))), 1), """")"),"軟綿綿的花田 / 浮島之花 ×4")</f>
        <v>軟綿綿的花田 / 浮島之花 ×4</v>
      </c>
      <c r="I261" s="36" t="str">
        <f>IFERROR(__xludf.DUMMYFUNCTION("IFERROR(INDEX(FILTER('棲息地'!$D$2:$D995, ISNUMBER(SEARCH($B261, '棲息地'!$D$2:$D995))), 1), """")"),"六尾、九尾、夢妖、夢妖魔、稚山雀")</f>
        <v>六尾、九尾、夢妖、夢妖魔、稚山雀</v>
      </c>
      <c r="J261" s="36" t="str">
        <f>IFERROR(__xludf.DUMMYFUNCTION("IFERROR(INDEX(FILTER('棲息地'!$B$2:$B995 &amp; "" / "" &amp; '棲息地'!$C$2:$C995, ISNUMBER(SEARCH($B261, '棲息地'!$D$2:$D995))), 2), """")"),"")</f>
        <v/>
      </c>
      <c r="K261" s="36" t="str">
        <f>IFERROR(__xludf.DUMMYFUNCTION("IFERROR(INDEX(FILTER('棲息地'!$D$2:$D995, ISNUMBER(SEARCH($B261, '棲息地'!$D$2:$D995))), 2), """")"),"")</f>
        <v/>
      </c>
      <c r="L261" s="36" t="str">
        <f>IFERROR(__xludf.DUMMYFUNCTION("IFERROR(INDEX(FILTER('棲息地'!$D$2:$D995, ISNUMBER(SEARCH($B261, '棲息地'!$D$2:$D995))), 3), """")"),"")</f>
        <v/>
      </c>
      <c r="M261" s="36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22.5" customHeight="1">
      <c r="A262" s="33" t="s">
        <v>1873</v>
      </c>
      <c r="B262" s="34" t="s">
        <v>1874</v>
      </c>
      <c r="C262" s="35" t="s">
        <v>1215</v>
      </c>
      <c r="D262" s="34" t="s">
        <v>1080</v>
      </c>
      <c r="E262" s="35" t="s">
        <v>1081</v>
      </c>
      <c r="F262" s="35" t="s">
        <v>1872</v>
      </c>
      <c r="G262" s="35" t="s">
        <v>1129</v>
      </c>
      <c r="H262" s="36" t="str">
        <f>IFERROR(__xludf.DUMMYFUNCTION("IFERROR(INDEX(FILTER('棲息地'!$B$2:$B995 &amp; "" / "" &amp; '棲息地'!$C$2:$C995, ISNUMBER(SEARCH($B262, '棲息地'!$D$2:$D995))), 1), """")"),"高崗的粉色草叢 / 粉紅草 ×4、高處 ×1")</f>
        <v>高崗的粉色草叢 / 粉紅草 ×4、高處 ×1</v>
      </c>
      <c r="I262" s="36" t="str">
        <f>IFERROR(__xludf.DUMMYFUNCTION("IFERROR(INDEX(FILTER('棲息地'!$D$2:$D995, ISNUMBER(SEARCH($B262, '棲息地'!$D$2:$D995))), 1), """")"),"藍鴉、電海燕、大電海燕、鋼鎧鴉")</f>
        <v>藍鴉、電海燕、大電海燕、鋼鎧鴉</v>
      </c>
      <c r="J262" s="36" t="str">
        <f>IFERROR(__xludf.DUMMYFUNCTION("IFERROR(INDEX(FILTER('棲息地'!$B$2:$B995 &amp; "" / "" &amp; '棲息地'!$C$2:$C995, ISNUMBER(SEARCH($B262, '棲息地'!$D$2:$D995))), 2), """")"),"")</f>
        <v/>
      </c>
      <c r="K262" s="36" t="str">
        <f>IFERROR(__xludf.DUMMYFUNCTION("IFERROR(INDEX(FILTER('棲息地'!$D$2:$D995, ISNUMBER(SEARCH($B262, '棲息地'!$D$2:$D995))), 2), """")"),"")</f>
        <v/>
      </c>
      <c r="L262" s="36" t="str">
        <f>IFERROR(__xludf.DUMMYFUNCTION("IFERROR(INDEX(FILTER('棲息地'!$D$2:$D995, ISNUMBER(SEARCH($B262, '棲息地'!$D$2:$D995))), 3), """")"),"")</f>
        <v/>
      </c>
      <c r="M262" s="36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22.5" customHeight="1">
      <c r="A263" s="33" t="s">
        <v>1875</v>
      </c>
      <c r="B263" s="34" t="s">
        <v>1876</v>
      </c>
      <c r="C263" s="35" t="s">
        <v>1120</v>
      </c>
      <c r="D263" s="34" t="s">
        <v>1080</v>
      </c>
      <c r="E263" s="35" t="s">
        <v>1081</v>
      </c>
      <c r="F263" s="35" t="s">
        <v>1877</v>
      </c>
      <c r="G263" s="35" t="s">
        <v>1125</v>
      </c>
      <c r="H263" s="36" t="str">
        <f>IFERROR(__xludf.DUMMYFUNCTION("IFERROR(INDEX(FILTER('棲息地'!$B$2:$B995 &amp; "" / "" &amp; '棲息地'!$C$2:$C995, ISNUMBER(SEARCH($B263, '棲息地'!$D$2:$D995))), 1), """")"),"高崗的粉色草叢 / 粉紅草 ×4、高處 ×1")</f>
        <v>高崗的粉色草叢 / 粉紅草 ×4、高處 ×1</v>
      </c>
      <c r="I263" s="36" t="str">
        <f>IFERROR(__xludf.DUMMYFUNCTION("IFERROR(INDEX(FILTER('棲息地'!$D$2:$D995, ISNUMBER(SEARCH($B263, '棲息地'!$D$2:$D995))), 1), """")"),"藍鴉、電海燕、大電海燕、鋼鎧鴉")</f>
        <v>藍鴉、電海燕、大電海燕、鋼鎧鴉</v>
      </c>
      <c r="J263" s="36" t="str">
        <f>IFERROR(__xludf.DUMMYFUNCTION("IFERROR(INDEX(FILTER('棲息地'!$B$2:$B995 &amp; "" / "" &amp; '棲息地'!$C$2:$C995, ISNUMBER(SEARCH($B263, '棲息地'!$D$2:$D995))), 2), """")"),"正在保養人孔蓋 / 掘山工具/鐵管堆/人孔蓋/三角錐 各1")</f>
        <v>正在保養人孔蓋 / 掘山工具/鐵管堆/人孔蓋/三角錐 各1</v>
      </c>
      <c r="K263" s="36" t="str">
        <f>IFERROR(__xludf.DUMMYFUNCTION("IFERROR(INDEX(FILTER('棲息地'!$D$2:$D995, ISNUMBER(SEARCH($B263, '棲息地'!$D$2:$D995))), 2), """")"),"小鍛匠（空空鎮)、鋼鎧鴉、蚊香泳士（★★）")</f>
        <v>小鍛匠（空空鎮)、鋼鎧鴉、蚊香泳士（★★）</v>
      </c>
      <c r="L263" s="36" t="str">
        <f>IFERROR(__xludf.DUMMYFUNCTION("IFERROR(INDEX(FILTER('棲息地'!$D$2:$D995, ISNUMBER(SEARCH($B263, '棲息地'!$D$2:$D995))), 3), """")"),"")</f>
        <v/>
      </c>
      <c r="M263" s="36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22.5" customHeight="1">
      <c r="A264" s="33" t="s">
        <v>1878</v>
      </c>
      <c r="B264" s="34" t="s">
        <v>1879</v>
      </c>
      <c r="C264" s="35" t="s">
        <v>1793</v>
      </c>
      <c r="D264" s="34" t="s">
        <v>1080</v>
      </c>
      <c r="E264" s="35" t="s">
        <v>1103</v>
      </c>
      <c r="F264" s="35" t="s">
        <v>1880</v>
      </c>
      <c r="G264" s="35" t="s">
        <v>1095</v>
      </c>
      <c r="H264" s="36" t="str">
        <f>IFERROR(__xludf.DUMMYFUNCTION("IFERROR(INDEX(FILTER('棲息地'!$B$2:$B995 &amp; "" / "" &amp; '棲息地'!$C$2:$C995, ISNUMBER(SEARCH($B264, '棲息地'!$D$2:$D995))), 1), """")"),"樹蔭的粉色草叢 / 大樹 ×1、粉紅草 ×4")</f>
        <v>樹蔭的粉色草叢 / 大樹 ×1、粉紅草 ×4</v>
      </c>
      <c r="I264" s="36" t="str">
        <f>IFERROR(__xludf.DUMMYFUNCTION("IFERROR(INDEX(FILTER('棲息地'!$D$2:$D995, ISNUMBER(SEARCH($B264, '棲息地'!$D$2:$D995))), 1), """")"),"沙基拉斯、多龍梅西亞/奇、新葉喵")</f>
        <v>沙基拉斯、多龍梅西亞/奇、新葉喵</v>
      </c>
      <c r="J264" s="36" t="str">
        <f>IFERROR(__xludf.DUMMYFUNCTION("IFERROR(INDEX(FILTER('棲息地'!$B$2:$B995 &amp; "" / "" &amp; '棲息地'!$C$2:$C995, ISNUMBER(SEARCH($B264, '棲息地'!$D$2:$D995))), 2), """")"),"")</f>
        <v/>
      </c>
      <c r="K264" s="36" t="str">
        <f>IFERROR(__xludf.DUMMYFUNCTION("IFERROR(INDEX(FILTER('棲息地'!$D$2:$D995, ISNUMBER(SEARCH($B264, '棲息地'!$D$2:$D995))), 2), """")"),"")</f>
        <v/>
      </c>
      <c r="L264" s="36" t="str">
        <f>IFERROR(__xludf.DUMMYFUNCTION("IFERROR(INDEX(FILTER('棲息地'!$D$2:$D995, ISNUMBER(SEARCH($B264, '棲息地'!$D$2:$D995))), 3), """")"),"")</f>
        <v/>
      </c>
      <c r="M264" s="36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22.5" customHeight="1">
      <c r="A265" s="33" t="s">
        <v>1881</v>
      </c>
      <c r="B265" s="34" t="s">
        <v>1882</v>
      </c>
      <c r="C265" s="35" t="s">
        <v>1793</v>
      </c>
      <c r="D265" s="34" t="s">
        <v>1080</v>
      </c>
      <c r="E265" s="35" t="s">
        <v>1103</v>
      </c>
      <c r="F265" s="35" t="s">
        <v>1880</v>
      </c>
      <c r="G265" s="35" t="s">
        <v>1083</v>
      </c>
      <c r="H265" s="36" t="str">
        <f>IFERROR(__xludf.DUMMYFUNCTION("IFERROR(INDEX(FILTER('棲息地'!$B$2:$B995 &amp; "" / "" &amp; '棲息地'!$C$2:$C995, ISNUMBER(SEARCH($B265, '棲息地'!$D$2:$D995))), 1), """")"),"辦公室倉庫 / 梯子 ×1、紙箱 ×1")</f>
        <v>辦公室倉庫 / 梯子 ×1、紙箱 ×1</v>
      </c>
      <c r="I265" s="36" t="str">
        <f>IFERROR(__xludf.DUMMYFUNCTION("IFERROR(INDEX(FILTER('棲息地'!$D$2:$D995, ISNUMBER(SEARCH($B265, '棲息地'!$D$2:$D995))), 1), """")"),"夢妖、多龍奇、多龍巴魯托")</f>
        <v>夢妖、多龍奇、多龍巴魯托</v>
      </c>
      <c r="J265" s="36" t="str">
        <f>IFERROR(__xludf.DUMMYFUNCTION("IFERROR(INDEX(FILTER('棲息地'!$B$2:$B995 &amp; "" / "" &amp; '棲息地'!$C$2:$C995, ISNUMBER(SEARCH($B265, '棲息地'!$D$2:$D995))), 2), """")"),"")</f>
        <v/>
      </c>
      <c r="K265" s="36" t="str">
        <f>IFERROR(__xludf.DUMMYFUNCTION("IFERROR(INDEX(FILTER('棲息地'!$D$2:$D995, ISNUMBER(SEARCH($B265, '棲息地'!$D$2:$D995))), 2), """")"),"")</f>
        <v/>
      </c>
      <c r="L265" s="36" t="str">
        <f>IFERROR(__xludf.DUMMYFUNCTION("IFERROR(INDEX(FILTER('棲息地'!$D$2:$D995, ISNUMBER(SEARCH($B265, '棲息地'!$D$2:$D995))), 3), """")"),"")</f>
        <v/>
      </c>
      <c r="M265" s="36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22.5" customHeight="1">
      <c r="A266" s="33" t="s">
        <v>1883</v>
      </c>
      <c r="B266" s="34" t="s">
        <v>1884</v>
      </c>
      <c r="C266" s="35" t="s">
        <v>1380</v>
      </c>
      <c r="D266" s="34" t="s">
        <v>1080</v>
      </c>
      <c r="E266" s="35" t="s">
        <v>1103</v>
      </c>
      <c r="F266" s="35" t="s">
        <v>1880</v>
      </c>
      <c r="G266" s="35" t="s">
        <v>1095</v>
      </c>
      <c r="H266" s="36" t="str">
        <f>IFERROR(__xludf.DUMMYFUNCTION("IFERROR(INDEX(FILTER('棲息地'!$B$2:$B995 &amp; "" / "" &amp; '棲息地'!$C$2:$C995, ISNUMBER(SEARCH($B266, '棲息地'!$D$2:$D995))), 1), """")"),"辦公室倉庫 / 梯子 ×1、紙箱 ×1")</f>
        <v>辦公室倉庫 / 梯子 ×1、紙箱 ×1</v>
      </c>
      <c r="I266" s="36" t="str">
        <f>IFERROR(__xludf.DUMMYFUNCTION("IFERROR(INDEX(FILTER('棲息地'!$D$2:$D995, ISNUMBER(SEARCH($B266, '棲息地'!$D$2:$D995))), 1), """")"),"夢妖、多龍奇、多龍巴魯托")</f>
        <v>夢妖、多龍奇、多龍巴魯托</v>
      </c>
      <c r="J266" s="36" t="str">
        <f>IFERROR(__xludf.DUMMYFUNCTION("IFERROR(INDEX(FILTER('棲息地'!$B$2:$B995 &amp; "" / "" &amp; '棲息地'!$C$2:$C995, ISNUMBER(SEARCH($B266, '棲息地'!$D$2:$D995))), 2), """")"),"")</f>
        <v/>
      </c>
      <c r="K266" s="36" t="str">
        <f>IFERROR(__xludf.DUMMYFUNCTION("IFERROR(INDEX(FILTER('棲息地'!$D$2:$D995, ISNUMBER(SEARCH($B266, '棲息地'!$D$2:$D995))), 2), """")"),"")</f>
        <v/>
      </c>
      <c r="L266" s="36" t="str">
        <f>IFERROR(__xludf.DUMMYFUNCTION("IFERROR(INDEX(FILTER('棲息地'!$D$2:$D995, ISNUMBER(SEARCH($B266, '棲息地'!$D$2:$D995))), 3), """")"),"")</f>
        <v/>
      </c>
      <c r="M266" s="36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22.5" customHeight="1">
      <c r="A267" s="33" t="s">
        <v>1885</v>
      </c>
      <c r="B267" s="34" t="s">
        <v>1886</v>
      </c>
      <c r="C267" s="35" t="s">
        <v>1079</v>
      </c>
      <c r="D267" s="34" t="s">
        <v>1080</v>
      </c>
      <c r="E267" s="35" t="s">
        <v>1081</v>
      </c>
      <c r="F267" s="35" t="s">
        <v>1887</v>
      </c>
      <c r="G267" s="35" t="s">
        <v>1083</v>
      </c>
      <c r="H267" s="36" t="str">
        <f>IFERROR(__xludf.DUMMYFUNCTION("IFERROR(INDEX(FILTER('棲息地'!$B$2:$B995 &amp; "" / "" &amp; '棲息地'!$C$2:$C995, ISNUMBER(SEARCH($B267, '棲息地'!$D$2:$D995))), 1), """")"),"樹蔭的粉色草叢 / 大樹 ×1、粉紅草 ×4")</f>
        <v>樹蔭的粉色草叢 / 大樹 ×1、粉紅草 ×4</v>
      </c>
      <c r="I267" s="36" t="str">
        <f>IFERROR(__xludf.DUMMYFUNCTION("IFERROR(INDEX(FILTER('棲息地'!$D$2:$D995, ISNUMBER(SEARCH($B267, '棲息地'!$D$2:$D995))), 1), """")"),"沙基拉斯、多龍梅西亞/奇、新葉喵")</f>
        <v>沙基拉斯、多龍梅西亞/奇、新葉喵</v>
      </c>
      <c r="J267" s="36" t="str">
        <f>IFERROR(__xludf.DUMMYFUNCTION("IFERROR(INDEX(FILTER('棲息地'!$B$2:$B995 &amp; "" / "" &amp; '棲息地'!$C$2:$C995, ISNUMBER(SEARCH($B267, '棲息地'!$D$2:$D995))), 2), """")"),"跟搭檔一起調查 / 風速狗布偶 ×1、折疊椅 ×2、桌燈 ×1")</f>
        <v>跟搭檔一起調查 / 風速狗布偶 ×1、折疊椅 ×2、桌燈 ×1</v>
      </c>
      <c r="K267" s="36" t="str">
        <f>IFERROR(__xludf.DUMMYFUNCTION("IFERROR(INDEX(FILTER('棲息地'!$D$2:$D995, ISNUMBER(SEARCH($B267, '棲息地'!$D$2:$D995))), 2), """")"),"新葉喵、蒂蕾喵")</f>
        <v>新葉喵、蒂蕾喵</v>
      </c>
      <c r="L267" s="36" t="str">
        <f>IFERROR(__xludf.DUMMYFUNCTION("IFERROR(INDEX(FILTER('棲息地'!$D$2:$D995, ISNUMBER(SEARCH($B267, '棲息地'!$D$2:$D995))), 3), """")"),"")</f>
        <v/>
      </c>
      <c r="M267" s="36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22.5" customHeight="1">
      <c r="A268" s="33" t="s">
        <v>1888</v>
      </c>
      <c r="B268" s="34" t="s">
        <v>1889</v>
      </c>
      <c r="C268" s="35" t="s">
        <v>1079</v>
      </c>
      <c r="D268" s="34" t="s">
        <v>1080</v>
      </c>
      <c r="E268" s="35" t="s">
        <v>1081</v>
      </c>
      <c r="F268" s="35" t="s">
        <v>1890</v>
      </c>
      <c r="G268" s="35" t="s">
        <v>1087</v>
      </c>
      <c r="H268" s="36" t="str">
        <f>IFERROR(__xludf.DUMMYFUNCTION("IFERROR(INDEX(FILTER('棲息地'!$B$2:$B995 &amp; "" / "" &amp; '棲息地'!$C$2:$C995, ISNUMBER(SEARCH($B268, '棲息地'!$D$2:$D995))), 1), """")"),"跟搭檔一起調查 / 風速狗布偶 ×1、折疊椅 ×2、桌燈 ×1")</f>
        <v>跟搭檔一起調查 / 風速狗布偶 ×1、折疊椅 ×2、桌燈 ×1</v>
      </c>
      <c r="I268" s="36" t="str">
        <f>IFERROR(__xludf.DUMMYFUNCTION("IFERROR(INDEX(FILTER('棲息地'!$D$2:$D995, ISNUMBER(SEARCH($B268, '棲息地'!$D$2:$D995))), 1), """")"),"新葉喵、蒂蕾喵")</f>
        <v>新葉喵、蒂蕾喵</v>
      </c>
      <c r="J268" s="36" t="str">
        <f>IFERROR(__xludf.DUMMYFUNCTION("IFERROR(INDEX(FILTER('棲息地'!$B$2:$B995 &amp; "" / "" &amp; '棲息地'!$C$2:$C995, ISNUMBER(SEARCH($B268, '棲息地'!$D$2:$D995))), 2), """")"),"")</f>
        <v/>
      </c>
      <c r="K268" s="36" t="str">
        <f>IFERROR(__xludf.DUMMYFUNCTION("IFERROR(INDEX(FILTER('棲息地'!$D$2:$D995, ISNUMBER(SEARCH($B268, '棲息地'!$D$2:$D995))), 2), """")"),"")</f>
        <v/>
      </c>
      <c r="L268" s="36" t="str">
        <f>IFERROR(__xludf.DUMMYFUNCTION("IFERROR(INDEX(FILTER('棲息地'!$D$2:$D995, ISNUMBER(SEARCH($B268, '棲息地'!$D$2:$D995))), 3), """")"),"")</f>
        <v/>
      </c>
      <c r="M268" s="36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22.5" customHeight="1">
      <c r="A269" s="33" t="s">
        <v>1891</v>
      </c>
      <c r="B269" s="34" t="s">
        <v>1892</v>
      </c>
      <c r="C269" s="35" t="s">
        <v>1893</v>
      </c>
      <c r="D269" s="34" t="s">
        <v>1080</v>
      </c>
      <c r="E269" s="35" t="s">
        <v>1081</v>
      </c>
      <c r="F269" s="35" t="s">
        <v>1894</v>
      </c>
      <c r="G269" s="35" t="s">
        <v>1129</v>
      </c>
      <c r="H269" s="36" t="str">
        <f>IFERROR(__xludf.DUMMYFUNCTION("IFERROR(INDEX(FILTER('棲息地'!$B$2:$B995 &amp; "" / "" &amp; '棲息地'!$C$2:$C995, ISNUMBER(SEARCH($B269, '棲息地'!$D$2:$D995))), 1), """")"),"咚咚驚喜箱 / 聚光燈 ×2、大太鼓 ×1、驚喜盒 ×1")</f>
        <v>咚咚驚喜箱 / 聚光燈 ×2、大太鼓 ×1、驚喜盒 ×1</v>
      </c>
      <c r="I269" s="36" t="str">
        <f>IFERROR(__xludf.DUMMYFUNCTION("IFERROR(INDEX(FILTER('棲息地'!$D$2:$D995, ISNUMBER(SEARCH($B269, '棲息地'!$D$2:$D995))), 1), """")"),"魔幻假面喵（★）")</f>
        <v>魔幻假面喵（★）</v>
      </c>
      <c r="J269" s="36" t="str">
        <f>IFERROR(__xludf.DUMMYFUNCTION("IFERROR(INDEX(FILTER('棲息地'!$B$2:$B995 &amp; "" / "" &amp; '棲息地'!$C$2:$C995, ISNUMBER(SEARCH($B269, '棲息地'!$D$2:$D995))), 2), """")"),"")</f>
        <v/>
      </c>
      <c r="K269" s="36" t="str">
        <f>IFERROR(__xludf.DUMMYFUNCTION("IFERROR(INDEX(FILTER('棲息地'!$D$2:$D995, ISNUMBER(SEARCH($B269, '棲息地'!$D$2:$D995))), 2), """")"),"")</f>
        <v/>
      </c>
      <c r="L269" s="36" t="str">
        <f>IFERROR(__xludf.DUMMYFUNCTION("IFERROR(INDEX(FILTER('棲息地'!$D$2:$D995, ISNUMBER(SEARCH($B269, '棲息地'!$D$2:$D995))), 3), """")"),"")</f>
        <v/>
      </c>
      <c r="M269" s="36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22.5" customHeight="1">
      <c r="A270" s="33" t="s">
        <v>1895</v>
      </c>
      <c r="B270" s="34" t="s">
        <v>1896</v>
      </c>
      <c r="C270" s="35" t="s">
        <v>1169</v>
      </c>
      <c r="D270" s="34" t="s">
        <v>1080</v>
      </c>
      <c r="E270" s="35" t="s">
        <v>1081</v>
      </c>
      <c r="F270" s="35" t="s">
        <v>1897</v>
      </c>
      <c r="G270" s="35" t="s">
        <v>1095</v>
      </c>
      <c r="H270" s="36" t="str">
        <f>IFERROR(__xludf.DUMMYFUNCTION("IFERROR(INDEX(FILTER('棲息地'!$B$2:$B995 &amp; "" / "" &amp; '棲息地'!$C$2:$C995, ISNUMBER(SEARCH($B270, '棲息地'!$D$2:$D995))), 1), """")"),"高崗的粉色草叢 / 粉紅草 ×4、高處 ×1")</f>
        <v>高崗的粉色草叢 / 粉紅草 ×4、高處 ×1</v>
      </c>
      <c r="I270" s="36" t="str">
        <f>IFERROR(__xludf.DUMMYFUNCTION("IFERROR(INDEX(FILTER('棲息地'!$D$2:$D995, ISNUMBER(SEARCH($B270, '棲息地'!$D$2:$D995))), 1), """")"),"藍鴉、電海燕、大電海燕、鋼鎧鴉")</f>
        <v>藍鴉、電海燕、大電海燕、鋼鎧鴉</v>
      </c>
      <c r="J270" s="36" t="str">
        <f>IFERROR(__xludf.DUMMYFUNCTION("IFERROR(INDEX(FILTER('棲息地'!$B$2:$B995 &amp; "" / "" &amp; '棲息地'!$C$2:$C995, ISNUMBER(SEARCH($B270, '棲息地'!$D$2:$D995))), 2), """")"),"")</f>
        <v/>
      </c>
      <c r="K270" s="36" t="str">
        <f>IFERROR(__xludf.DUMMYFUNCTION("IFERROR(INDEX(FILTER('棲息地'!$D$2:$D995, ISNUMBER(SEARCH($B270, '棲息地'!$D$2:$D995))), 2), """")"),"")</f>
        <v/>
      </c>
      <c r="L270" s="36" t="str">
        <f>IFERROR(__xludf.DUMMYFUNCTION("IFERROR(INDEX(FILTER('棲息地'!$D$2:$D995, ISNUMBER(SEARCH($B270, '棲息地'!$D$2:$D995))), 3), """")"),"")</f>
        <v/>
      </c>
      <c r="M270" s="36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22.5" customHeight="1">
      <c r="A271" s="33" t="s">
        <v>1898</v>
      </c>
      <c r="B271" s="34" t="s">
        <v>1899</v>
      </c>
      <c r="C271" s="35" t="s">
        <v>1900</v>
      </c>
      <c r="D271" s="34" t="s">
        <v>1080</v>
      </c>
      <c r="E271" s="35" t="s">
        <v>1081</v>
      </c>
      <c r="F271" s="35" t="s">
        <v>1901</v>
      </c>
      <c r="G271" s="35" t="s">
        <v>1129</v>
      </c>
      <c r="H271" s="36" t="str">
        <f>IFERROR(__xludf.DUMMYFUNCTION("IFERROR(INDEX(FILTER('棲息地'!$B$2:$B995 &amp; "" / "" &amp; '棲息地'!$C$2:$C995, ISNUMBER(SEARCH($B271, '棲息地'!$D$2:$D995))), 1), """")"),"高崗的粉色草叢 / 粉紅草 ×4、高處 ×1")</f>
        <v>高崗的粉色草叢 / 粉紅草 ×4、高處 ×1</v>
      </c>
      <c r="I271" s="36" t="str">
        <f>IFERROR(__xludf.DUMMYFUNCTION("IFERROR(INDEX(FILTER('棲息地'!$D$2:$D995, ISNUMBER(SEARCH($B271, '棲息地'!$D$2:$D995))), 1), """")"),"藍鴉、電海燕、大電海燕、鋼鎧鴉")</f>
        <v>藍鴉、電海燕、大電海燕、鋼鎧鴉</v>
      </c>
      <c r="J271" s="36" t="str">
        <f>IFERROR(__xludf.DUMMYFUNCTION("IFERROR(INDEX(FILTER('棲息地'!$B$2:$B995 &amp; "" / "" &amp; '棲息地'!$C$2:$C995, ISNUMBER(SEARCH($B271, '棲息地'!$D$2:$D995))), 2), """")"),"")</f>
        <v/>
      </c>
      <c r="K271" s="36" t="str">
        <f>IFERROR(__xludf.DUMMYFUNCTION("IFERROR(INDEX(FILTER('棲息地'!$D$2:$D995, ISNUMBER(SEARCH($B271, '棲息地'!$D$2:$D995))), 2), """")"),"")</f>
        <v/>
      </c>
      <c r="L271" s="36" t="str">
        <f>IFERROR(__xludf.DUMMYFUNCTION("IFERROR(INDEX(FILTER('棲息地'!$D$2:$D995, ISNUMBER(SEARCH($B271, '棲息地'!$D$2:$D995))), 3), """")"),"")</f>
        <v/>
      </c>
      <c r="M271" s="36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22.5" customHeight="1">
      <c r="A272" s="33" t="s">
        <v>1902</v>
      </c>
      <c r="B272" s="34" t="s">
        <v>1903</v>
      </c>
      <c r="C272" s="35" t="s">
        <v>1186</v>
      </c>
      <c r="D272" s="34" t="s">
        <v>1080</v>
      </c>
      <c r="E272" s="35" t="s">
        <v>1081</v>
      </c>
      <c r="F272" s="35" t="s">
        <v>1904</v>
      </c>
      <c r="G272" s="35" t="s">
        <v>1083</v>
      </c>
      <c r="H272" s="36" t="str">
        <f>IFERROR(__xludf.DUMMYFUNCTION("IFERROR(INDEX(FILTER('棲息地'!$B$2:$B995 &amp; "" / "" &amp; '棲息地'!$C$2:$C995, ISNUMBER(SEARCH($B272, '棲息地'!$D$2:$D995))), 1), """")"),"載上大行李 / 手推車 ×1、木箱 ×2")</f>
        <v>載上大行李 / 手推車 ×1、木箱 ×2</v>
      </c>
      <c r="I272" s="36" t="str">
        <f>IFERROR(__xludf.DUMMYFUNCTION("IFERROR(INDEX(FILTER('棲息地'!$D$2:$D995, ISNUMBER(SEARCH($B272, '棲息地'!$D$2:$D995))), 1), """")"),"鐵骨土人、小鍛匠（空空鎮)、巧鍛匠（空空鎮)")</f>
        <v>鐵骨土人、小鍛匠（空空鎮)、巧鍛匠（空空鎮)</v>
      </c>
      <c r="J272" s="36" t="str">
        <f>IFERROR(__xludf.DUMMYFUNCTION("IFERROR(INDEX(FILTER('棲息地'!$B$2:$B995 &amp; "" / "" &amp; '棲息地'!$C$2:$C995, ISNUMBER(SEARCH($B272, '棲息地'!$D$2:$D995))), 2), """")"),"大型垃圾場 / 鋼骨 ×3、垃圾桶組 ×1、輪胎 ×1、微波爐 ×1")</f>
        <v>大型垃圾場 / 鋼骨 ×3、垃圾桶組 ×1、輪胎 ×1、微波爐 ×1</v>
      </c>
      <c r="K272" s="36" t="str">
        <f>IFERROR(__xludf.DUMMYFUNCTION("IFERROR(INDEX(FILTER('棲息地'!$D$2:$D995, ISNUMBER(SEARCH($B272, '棲息地'!$D$2:$D995))), 2), """")"),"小鍛匠（空空鎮)")</f>
        <v>小鍛匠（空空鎮)</v>
      </c>
      <c r="L272" s="36" t="str">
        <f>IFERROR(__xludf.DUMMYFUNCTION("IFERROR(INDEX(FILTER('棲息地'!$D$2:$D995, ISNUMBER(SEARCH($B272, '棲息地'!$D$2:$D995))), 3), """")"),"小鍛匠（空空鎮)、鋼鎧鴉、蚊香泳士（★★）")</f>
        <v>小鍛匠（空空鎮)、鋼鎧鴉、蚊香泳士（★★）</v>
      </c>
      <c r="M272" s="36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22.5" customHeight="1">
      <c r="A273" s="33" t="s">
        <v>1905</v>
      </c>
      <c r="B273" s="34" t="s">
        <v>1906</v>
      </c>
      <c r="C273" s="35" t="s">
        <v>1186</v>
      </c>
      <c r="D273" s="34" t="s">
        <v>1080</v>
      </c>
      <c r="E273" s="35" t="s">
        <v>1081</v>
      </c>
      <c r="F273" s="35" t="s">
        <v>1907</v>
      </c>
      <c r="G273" s="35" t="s">
        <v>1087</v>
      </c>
      <c r="H273" s="36" t="str">
        <f>IFERROR(__xludf.DUMMYFUNCTION("IFERROR(INDEX(FILTER('棲息地'!$B$2:$B995 &amp; "" / "" &amp; '棲息地'!$C$2:$C995, ISNUMBER(SEARCH($B273, '棲息地'!$D$2:$D995))), 1), """")"),"載上大行李 / 手推車 ×1、木箱 ×2")</f>
        <v>載上大行李 / 手推車 ×1、木箱 ×2</v>
      </c>
      <c r="I273" s="36" t="str">
        <f>IFERROR(__xludf.DUMMYFUNCTION("IFERROR(INDEX(FILTER('棲息地'!$D$2:$D995, ISNUMBER(SEARCH($B273, '棲息地'!$D$2:$D995))), 1), """")"),"鐵骨土人、小鍛匠（空空鎮)、巧鍛匠（空空鎮)")</f>
        <v>鐵骨土人、小鍛匠（空空鎮)、巧鍛匠（空空鎮)</v>
      </c>
      <c r="J273" s="36" t="str">
        <f>IFERROR(__xludf.DUMMYFUNCTION("IFERROR(INDEX(FILTER('棲息地'!$B$2:$B995 &amp; "" / "" &amp; '棲息地'!$C$2:$C995, ISNUMBER(SEARCH($B273, '棲息地'!$D$2:$D995))), 2), """")"),"")</f>
        <v/>
      </c>
      <c r="K273" s="36" t="str">
        <f>IFERROR(__xludf.DUMMYFUNCTION("IFERROR(INDEX(FILTER('棲息地'!$D$2:$D995, ISNUMBER(SEARCH($B273, '棲息地'!$D$2:$D995))), 2), """")"),"")</f>
        <v/>
      </c>
      <c r="L273" s="36" t="str">
        <f>IFERROR(__xludf.DUMMYFUNCTION("IFERROR(INDEX(FILTER('棲息地'!$D$2:$D995, ISNUMBER(SEARCH($B273, '棲息地'!$D$2:$D995))), 3), """")"),"")</f>
        <v/>
      </c>
      <c r="M273" s="36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22.5" customHeight="1">
      <c r="A274" s="33" t="s">
        <v>1908</v>
      </c>
      <c r="B274" s="34" t="s">
        <v>1909</v>
      </c>
      <c r="C274" s="35" t="s">
        <v>1910</v>
      </c>
      <c r="D274" s="34" t="s">
        <v>1080</v>
      </c>
      <c r="E274" s="35" t="s">
        <v>1081</v>
      </c>
      <c r="F274" s="35" t="s">
        <v>1911</v>
      </c>
      <c r="G274" s="35" t="s">
        <v>1095</v>
      </c>
      <c r="H274" s="36" t="str">
        <f>IFERROR(__xludf.DUMMYFUNCTION("IFERROR(INDEX(FILTER('棲息地'!$B$2:$B995 &amp; "" / "" &amp; '棲息地'!$C$2:$C995, ISNUMBER(SEARCH($B274, '棲息地'!$D$2:$D995))), 1), """")"),"")</f>
        <v/>
      </c>
      <c r="I274" s="36" t="str">
        <f>IFERROR(__xludf.DUMMYFUNCTION("IFERROR(INDEX(FILTER('棲息地'!$D$2:$D995, ISNUMBER(SEARCH($B274, '棲息地'!$D$2:$D995))), 1), """")"),"")</f>
        <v/>
      </c>
      <c r="J274" s="36" t="str">
        <f>IFERROR(__xludf.DUMMYFUNCTION("IFERROR(INDEX(FILTER('棲息地'!$B$2:$B995 &amp; "" / "" &amp; '棲息地'!$C$2:$C995, ISNUMBER(SEARCH($B274, '棲息地'!$D$2:$D995))), 2), """")"),"")</f>
        <v/>
      </c>
      <c r="K274" s="36" t="str">
        <f>IFERROR(__xludf.DUMMYFUNCTION("IFERROR(INDEX(FILTER('棲息地'!$D$2:$D995, ISNUMBER(SEARCH($B274, '棲息地'!$D$2:$D995))), 2), """")"),"")</f>
        <v/>
      </c>
      <c r="L274" s="36" t="str">
        <f>IFERROR(__xludf.DUMMYFUNCTION("IFERROR(INDEX(FILTER('棲息地'!$D$2:$D995, ISNUMBER(SEARCH($B274, '棲息地'!$D$2:$D995))), 3), """")"),"")</f>
        <v/>
      </c>
      <c r="M274" s="36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22.5" customHeight="1">
      <c r="A275" s="33" t="s">
        <v>1912</v>
      </c>
      <c r="B275" s="34" t="s">
        <v>1913</v>
      </c>
      <c r="C275" s="35" t="s">
        <v>1914</v>
      </c>
      <c r="D275" s="34" t="s">
        <v>1080</v>
      </c>
      <c r="E275" s="35" t="s">
        <v>1180</v>
      </c>
      <c r="F275" s="35" t="s">
        <v>1915</v>
      </c>
      <c r="G275" s="35" t="s">
        <v>1087</v>
      </c>
      <c r="H275" s="36" t="str">
        <f>IFERROR(__xludf.DUMMYFUNCTION("IFERROR(INDEX(FILTER('棲息地'!$B$2:$B995 &amp; "" / "" &amp; '棲息地'!$C$2:$C995, ISNUMBER(SEARCH($B275, '棲息地'!$D$2:$D995))), 1), """")"),"飛翼化石展示台 / 台座x1、飛翼化石 (頭/身/尾/左翼/右翼)")</f>
        <v>飛翼化石展示台 / 台座x1、飛翼化石 (頭/身/尾/左翼/右翼)</v>
      </c>
      <c r="I275" s="36" t="str">
        <f>IFERROR(__xludf.DUMMYFUNCTION("IFERROR(INDEX(FILTER('棲息地'!$D$2:$D995, ISNUMBER(SEARCH($B275, '棲息地'!$D$2:$D995))), 1), """")"),"化石翼龍（★）")</f>
        <v>化石翼龍（★）</v>
      </c>
      <c r="J275" s="36" t="str">
        <f>IFERROR(__xludf.DUMMYFUNCTION("IFERROR(INDEX(FILTER('棲息地'!$B$2:$B995 &amp; "" / "" &amp; '棲息地'!$C$2:$C995, ISNUMBER(SEARCH($B275, '棲息地'!$D$2:$D995))), 2), """")"),"")</f>
        <v/>
      </c>
      <c r="K275" s="36" t="str">
        <f>IFERROR(__xludf.DUMMYFUNCTION("IFERROR(INDEX(FILTER('棲息地'!$D$2:$D995, ISNUMBER(SEARCH($B275, '棲息地'!$D$2:$D995))), 2), """")"),"")</f>
        <v/>
      </c>
      <c r="L275" s="36" t="str">
        <f>IFERROR(__xludf.DUMMYFUNCTION("IFERROR(INDEX(FILTER('棲息地'!$D$2:$D995, ISNUMBER(SEARCH($B275, '棲息地'!$D$2:$D995))), 3), """")"),"")</f>
        <v/>
      </c>
      <c r="M275" s="36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22.5" customHeight="1">
      <c r="A276" s="33" t="s">
        <v>1916</v>
      </c>
      <c r="B276" s="34" t="s">
        <v>1917</v>
      </c>
      <c r="C276" s="35" t="s">
        <v>1587</v>
      </c>
      <c r="D276" s="34" t="s">
        <v>1080</v>
      </c>
      <c r="E276" s="35" t="s">
        <v>1180</v>
      </c>
      <c r="F276" s="35" t="s">
        <v>1918</v>
      </c>
      <c r="G276" s="35" t="s">
        <v>1095</v>
      </c>
      <c r="H276" s="36" t="str">
        <f>IFERROR(__xludf.DUMMYFUNCTION("IFERROR(INDEX(FILTER('棲息地'!$B$2:$B995 &amp; "" / "" &amp; '棲息地'!$C$2:$C995, ISNUMBER(SEARCH($B276, '棲息地'!$D$2:$D995))), 1), """")"),"頭蓋化石展示台 / 台座x1、頭蓋化石")</f>
        <v>頭蓋化石展示台 / 台座x1、頭蓋化石</v>
      </c>
      <c r="I276" s="36" t="str">
        <f>IFERROR(__xludf.DUMMYFUNCTION("IFERROR(INDEX(FILTER('棲息地'!$D$2:$D995, ISNUMBER(SEARCH($B276, '棲息地'!$D$2:$D995))), 1), """")"),"頭蓋龍（★）")</f>
        <v>頭蓋龍（★）</v>
      </c>
      <c r="J276" s="36" t="str">
        <f>IFERROR(__xludf.DUMMYFUNCTION("IFERROR(INDEX(FILTER('棲息地'!$B$2:$B995 &amp; "" / "" &amp; '棲息地'!$C$2:$C995, ISNUMBER(SEARCH($B276, '棲息地'!$D$2:$D995))), 2), """")"),"")</f>
        <v/>
      </c>
      <c r="K276" s="36" t="str">
        <f>IFERROR(__xludf.DUMMYFUNCTION("IFERROR(INDEX(FILTER('棲息地'!$D$2:$D995, ISNUMBER(SEARCH($B276, '棲息地'!$D$2:$D995))), 2), """")"),"")</f>
        <v/>
      </c>
      <c r="L276" s="36" t="str">
        <f>IFERROR(__xludf.DUMMYFUNCTION("IFERROR(INDEX(FILTER('棲息地'!$D$2:$D995, ISNUMBER(SEARCH($B276, '棲息地'!$D$2:$D995))), 3), """")"),"")</f>
        <v/>
      </c>
      <c r="M276" s="36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22.5" customHeight="1">
      <c r="A277" s="33" t="s">
        <v>1919</v>
      </c>
      <c r="B277" s="34" t="s">
        <v>1920</v>
      </c>
      <c r="C277" s="35" t="s">
        <v>1921</v>
      </c>
      <c r="D277" s="35" t="s">
        <v>1408</v>
      </c>
      <c r="E277" s="35" t="s">
        <v>1180</v>
      </c>
      <c r="F277" s="35" t="s">
        <v>1922</v>
      </c>
      <c r="G277" s="35" t="s">
        <v>1129</v>
      </c>
      <c r="H277" s="36" t="str">
        <f>IFERROR(__xludf.DUMMYFUNCTION("IFERROR(INDEX(FILTER('棲息地'!$B$2:$B995 &amp; "" / "" &amp; '棲息地'!$C$2:$C995, ISNUMBER(SEARCH($B277, '棲息地'!$D$2:$D995))), 1), """")"),"頭槌化石展示台 / 台座x1、頭槌化石 (頭/身/尾)")</f>
        <v>頭槌化石展示台 / 台座x1、頭槌化石 (頭/身/尾)</v>
      </c>
      <c r="I277" s="36" t="str">
        <f>IFERROR(__xludf.DUMMYFUNCTION("IFERROR(INDEX(FILTER('棲息地'!$D$2:$D995, ISNUMBER(SEARCH($B277, '棲息地'!$D$2:$D995))), 1), """")"),"戰槌龍（★）")</f>
        <v>戰槌龍（★）</v>
      </c>
      <c r="J277" s="36" t="str">
        <f>IFERROR(__xludf.DUMMYFUNCTION("IFERROR(INDEX(FILTER('棲息地'!$B$2:$B995 &amp; "" / "" &amp; '棲息地'!$C$2:$C995, ISNUMBER(SEARCH($B277, '棲息地'!$D$2:$D995))), 2), """")"),"")</f>
        <v/>
      </c>
      <c r="K277" s="36" t="str">
        <f>IFERROR(__xludf.DUMMYFUNCTION("IFERROR(INDEX(FILTER('棲息地'!$D$2:$D995, ISNUMBER(SEARCH($B277, '棲息地'!$D$2:$D995))), 2), """")"),"")</f>
        <v/>
      </c>
      <c r="L277" s="36" t="str">
        <f>IFERROR(__xludf.DUMMYFUNCTION("IFERROR(INDEX(FILTER('棲息地'!$D$2:$D995, ISNUMBER(SEARCH($B277, '棲息地'!$D$2:$D995))), 3), """")"),"")</f>
        <v/>
      </c>
      <c r="M277" s="36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22.5" customHeight="1">
      <c r="A278" s="33" t="s">
        <v>1923</v>
      </c>
      <c r="B278" s="34" t="s">
        <v>1924</v>
      </c>
      <c r="C278" s="35" t="s">
        <v>1587</v>
      </c>
      <c r="D278" s="34" t="s">
        <v>1080</v>
      </c>
      <c r="E278" s="35" t="s">
        <v>1180</v>
      </c>
      <c r="F278" s="35" t="s">
        <v>1925</v>
      </c>
      <c r="G278" s="35" t="s">
        <v>1083</v>
      </c>
      <c r="H278" s="36" t="str">
        <f>IFERROR(__xludf.DUMMYFUNCTION("IFERROR(INDEX(FILTER('棲息地'!$B$2:$B995 &amp; "" / "" &amp; '棲息地'!$C$2:$C995, ISNUMBER(SEARCH($B278, '棲息地'!$D$2:$D995))), 1), """")"),"盾甲化石展示台 / 台座x1、盾甲化石")</f>
        <v>盾甲化石展示台 / 台座x1、盾甲化石</v>
      </c>
      <c r="I278" s="36" t="str">
        <f>IFERROR(__xludf.DUMMYFUNCTION("IFERROR(INDEX(FILTER('棲息地'!$D$2:$D995, ISNUMBER(SEARCH($B278, '棲息地'!$D$2:$D995))), 1), """")"),"盾甲龍（★）")</f>
        <v>盾甲龍（★）</v>
      </c>
      <c r="J278" s="36" t="str">
        <f>IFERROR(__xludf.DUMMYFUNCTION("IFERROR(INDEX(FILTER('棲息地'!$B$2:$B995 &amp; "" / "" &amp; '棲息地'!$C$2:$C995, ISNUMBER(SEARCH($B278, '棲息地'!$D$2:$D995))), 2), """")"),"")</f>
        <v/>
      </c>
      <c r="K278" s="36" t="str">
        <f>IFERROR(__xludf.DUMMYFUNCTION("IFERROR(INDEX(FILTER('棲息地'!$D$2:$D995, ISNUMBER(SEARCH($B278, '棲息地'!$D$2:$D995))), 2), """")"),"")</f>
        <v/>
      </c>
      <c r="L278" s="36" t="str">
        <f>IFERROR(__xludf.DUMMYFUNCTION("IFERROR(INDEX(FILTER('棲息地'!$D$2:$D995, ISNUMBER(SEARCH($B278, '棲息地'!$D$2:$D995))), 3), """")"),"")</f>
        <v/>
      </c>
      <c r="M278" s="36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22.5" customHeight="1">
      <c r="A279" s="33" t="s">
        <v>1926</v>
      </c>
      <c r="B279" s="34" t="s">
        <v>1927</v>
      </c>
      <c r="C279" s="35" t="s">
        <v>1921</v>
      </c>
      <c r="D279" s="35" t="s">
        <v>1408</v>
      </c>
      <c r="E279" s="35" t="s">
        <v>1180</v>
      </c>
      <c r="F279" s="35" t="s">
        <v>1922</v>
      </c>
      <c r="G279" s="35" t="s">
        <v>1125</v>
      </c>
      <c r="H279" s="36" t="str">
        <f>IFERROR(__xludf.DUMMYFUNCTION("IFERROR(INDEX(FILTER('棲息地'!$B$2:$B995 &amp; "" / "" &amp; '棲息地'!$C$2:$C995, ISNUMBER(SEARCH($B279, '棲息地'!$D$2:$D995))), 1), """")"),"護盾化石展示台 / 台座x1、護盾化石 (頭/身/尾)")</f>
        <v>護盾化石展示台 / 台座x1、護盾化石 (頭/身/尾)</v>
      </c>
      <c r="I279" s="36" t="str">
        <f>IFERROR(__xludf.DUMMYFUNCTION("IFERROR(INDEX(FILTER('棲息地'!$D$2:$D995, ISNUMBER(SEARCH($B279, '棲息地'!$D$2:$D995))), 1), """")"),"護城龍（★）")</f>
        <v>護城龍（★）</v>
      </c>
      <c r="J279" s="36" t="str">
        <f>IFERROR(__xludf.DUMMYFUNCTION("IFERROR(INDEX(FILTER('棲息地'!$B$2:$B995 &amp; "" / "" &amp; '棲息地'!$C$2:$C995, ISNUMBER(SEARCH($B279, '棲息地'!$D$2:$D995))), 2), """")"),"")</f>
        <v/>
      </c>
      <c r="K279" s="36" t="str">
        <f>IFERROR(__xludf.DUMMYFUNCTION("IFERROR(INDEX(FILTER('棲息地'!$D$2:$D995, ISNUMBER(SEARCH($B279, '棲息地'!$D$2:$D995))), 2), """")"),"")</f>
        <v/>
      </c>
      <c r="L279" s="36" t="str">
        <f>IFERROR(__xludf.DUMMYFUNCTION("IFERROR(INDEX(FILTER('棲息地'!$D$2:$D995, ISNUMBER(SEARCH($B279, '棲息地'!$D$2:$D995))), 3), """")"),"")</f>
        <v/>
      </c>
      <c r="M279" s="36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22.5" customHeight="1">
      <c r="A280" s="33" t="s">
        <v>1928</v>
      </c>
      <c r="B280" s="34" t="s">
        <v>1929</v>
      </c>
      <c r="C280" s="35" t="s">
        <v>1587</v>
      </c>
      <c r="D280" s="34" t="s">
        <v>1080</v>
      </c>
      <c r="E280" s="35" t="s">
        <v>1180</v>
      </c>
      <c r="F280" s="35" t="s">
        <v>1930</v>
      </c>
      <c r="G280" s="35" t="s">
        <v>1083</v>
      </c>
      <c r="H280" s="36" t="str">
        <f>IFERROR(__xludf.DUMMYFUNCTION("IFERROR(INDEX(FILTER('棲息地'!$B$2:$B995 &amp; "" / "" &amp; '棲息地'!$C$2:$C995, ISNUMBER(SEARCH($B280, '棲息地'!$D$2:$D995))), 1), """")"),"顎之化石展示台 / 台座x1、顎之化石")</f>
        <v>顎之化石展示台 / 台座x1、顎之化石</v>
      </c>
      <c r="I280" s="36" t="str">
        <f>IFERROR(__xludf.DUMMYFUNCTION("IFERROR(INDEX(FILTER('棲息地'!$D$2:$D995, ISNUMBER(SEARCH($B280, '棲息地'!$D$2:$D995))), 1), """")"),"寶寶暴龍（★）")</f>
        <v>寶寶暴龍（★）</v>
      </c>
      <c r="J280" s="36" t="str">
        <f>IFERROR(__xludf.DUMMYFUNCTION("IFERROR(INDEX(FILTER('棲息地'!$B$2:$B995 &amp; "" / "" &amp; '棲息地'!$C$2:$C995, ISNUMBER(SEARCH($B280, '棲息地'!$D$2:$D995))), 2), """")"),"")</f>
        <v/>
      </c>
      <c r="K280" s="36" t="str">
        <f>IFERROR(__xludf.DUMMYFUNCTION("IFERROR(INDEX(FILTER('棲息地'!$D$2:$D995, ISNUMBER(SEARCH($B280, '棲息地'!$D$2:$D995))), 2), """")"),"")</f>
        <v/>
      </c>
      <c r="L280" s="36" t="str">
        <f>IFERROR(__xludf.DUMMYFUNCTION("IFERROR(INDEX(FILTER('棲息地'!$D$2:$D995, ISNUMBER(SEARCH($B280, '棲息地'!$D$2:$D995))), 3), """")"),"")</f>
        <v/>
      </c>
      <c r="M280" s="36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22.5" customHeight="1">
      <c r="A281" s="33" t="s">
        <v>1931</v>
      </c>
      <c r="B281" s="34" t="s">
        <v>1932</v>
      </c>
      <c r="C281" s="35" t="s">
        <v>1921</v>
      </c>
      <c r="D281" s="35" t="s">
        <v>1408</v>
      </c>
      <c r="E281" s="35" t="s">
        <v>1180</v>
      </c>
      <c r="F281" s="35" t="s">
        <v>1930</v>
      </c>
      <c r="G281" s="35" t="s">
        <v>1087</v>
      </c>
      <c r="H281" s="36" t="str">
        <f>IFERROR(__xludf.DUMMYFUNCTION("IFERROR(INDEX(FILTER('棲息地'!$B$2:$B995 &amp; "" / "" &amp; '棲息地'!$C$2:$C995, ISNUMBER(SEARCH($B281, '棲息地'!$D$2:$D995))), 1), """")"),"暴君化石展示台 / 台座x2、暴君化石 (頭/身/尾/腳)")</f>
        <v>暴君化石展示台 / 台座x2、暴君化石 (頭/身/尾/腳)</v>
      </c>
      <c r="I281" s="36" t="str">
        <f>IFERROR(__xludf.DUMMYFUNCTION("IFERROR(INDEX(FILTER('棲息地'!$D$2:$D995, ISNUMBER(SEARCH($B281, '棲息地'!$D$2:$D995))), 1), """")"),"怪顎龍（★）")</f>
        <v>怪顎龍（★）</v>
      </c>
      <c r="J281" s="36" t="str">
        <f>IFERROR(__xludf.DUMMYFUNCTION("IFERROR(INDEX(FILTER('棲息地'!$B$2:$B995 &amp; "" / "" &amp; '棲息地'!$C$2:$C995, ISNUMBER(SEARCH($B281, '棲息地'!$D$2:$D995))), 2), """")"),"")</f>
        <v/>
      </c>
      <c r="K281" s="36" t="str">
        <f>IFERROR(__xludf.DUMMYFUNCTION("IFERROR(INDEX(FILTER('棲息地'!$D$2:$D995, ISNUMBER(SEARCH($B281, '棲息地'!$D$2:$D995))), 2), """")"),"")</f>
        <v/>
      </c>
      <c r="L281" s="36" t="str">
        <f>IFERROR(__xludf.DUMMYFUNCTION("IFERROR(INDEX(FILTER('棲息地'!$D$2:$D995, ISNUMBER(SEARCH($B281, '棲息地'!$D$2:$D995))), 3), """")"),"")</f>
        <v/>
      </c>
      <c r="M281" s="36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22.5" customHeight="1">
      <c r="A282" s="33" t="s">
        <v>1933</v>
      </c>
      <c r="B282" s="34" t="s">
        <v>1934</v>
      </c>
      <c r="C282" s="35" t="s">
        <v>1587</v>
      </c>
      <c r="D282" s="34" t="s">
        <v>1080</v>
      </c>
      <c r="E282" s="35" t="s">
        <v>1351</v>
      </c>
      <c r="F282" s="35" t="s">
        <v>1935</v>
      </c>
      <c r="G282" s="35" t="s">
        <v>1129</v>
      </c>
      <c r="H282" s="36" t="str">
        <f>IFERROR(__xludf.DUMMYFUNCTION("IFERROR(INDEX(FILTER('棲息地'!$B$2:$B995 &amp; "" / "" &amp; '棲息地'!$C$2:$C995, ISNUMBER(SEARCH($B282, '棲息地'!$D$2:$D995))), 1), """")"),"鰭之化石展示台 / 台座x1、鰭之化石")</f>
        <v>鰭之化石展示台 / 台座x1、鰭之化石</v>
      </c>
      <c r="I282" s="36" t="str">
        <f>IFERROR(__xludf.DUMMYFUNCTION("IFERROR(INDEX(FILTER('棲息地'!$D$2:$D995, ISNUMBER(SEARCH($B282, '棲息地'!$D$2:$D995))), 1), """")"),"冰雪龍（★）")</f>
        <v>冰雪龍（★）</v>
      </c>
      <c r="J282" s="36" t="str">
        <f>IFERROR(__xludf.DUMMYFUNCTION("IFERROR(INDEX(FILTER('棲息地'!$B$2:$B995 &amp; "" / "" &amp; '棲息地'!$C$2:$C995, ISNUMBER(SEARCH($B282, '棲息地'!$D$2:$D995))), 2), """")"),"")</f>
        <v/>
      </c>
      <c r="K282" s="36" t="str">
        <f>IFERROR(__xludf.DUMMYFUNCTION("IFERROR(INDEX(FILTER('棲息地'!$D$2:$D995, ISNUMBER(SEARCH($B282, '棲息地'!$D$2:$D995))), 2), """")"),"")</f>
        <v/>
      </c>
      <c r="L282" s="36" t="str">
        <f>IFERROR(__xludf.DUMMYFUNCTION("IFERROR(INDEX(FILTER('棲息地'!$D$2:$D995, ISNUMBER(SEARCH($B282, '棲息地'!$D$2:$D995))), 3), """")"),"")</f>
        <v/>
      </c>
      <c r="M282" s="36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22.5" customHeight="1">
      <c r="A283" s="33" t="s">
        <v>1936</v>
      </c>
      <c r="B283" s="34" t="s">
        <v>1937</v>
      </c>
      <c r="C283" s="35" t="s">
        <v>1921</v>
      </c>
      <c r="D283" s="35" t="s">
        <v>1408</v>
      </c>
      <c r="E283" s="35" t="s">
        <v>1351</v>
      </c>
      <c r="F283" s="35" t="s">
        <v>1938</v>
      </c>
      <c r="G283" s="35" t="s">
        <v>1087</v>
      </c>
      <c r="H283" s="36" t="str">
        <f>IFERROR(__xludf.DUMMYFUNCTION("IFERROR(INDEX(FILTER('棲息地'!$B$2:$B995 &amp; "" / "" &amp; '棲息地'!$C$2:$C995, ISNUMBER(SEARCH($B283, '棲息地'!$D$2:$D995))), 1), """")"),"凍原化石展示台 / 台座x1、凍原化石 (頭/身/尾)")</f>
        <v>凍原化石展示台 / 台座x1、凍原化石 (頭/身/尾)</v>
      </c>
      <c r="I283" s="36" t="str">
        <f>IFERROR(__xludf.DUMMYFUNCTION("IFERROR(INDEX(FILTER('棲息地'!$D$2:$D995, ISNUMBER(SEARCH($B283, '棲息地'!$D$2:$D995))), 1), """")"),"冰雪巨龍（★）")</f>
        <v>冰雪巨龍（★）</v>
      </c>
      <c r="J283" s="36" t="str">
        <f>IFERROR(__xludf.DUMMYFUNCTION("IFERROR(INDEX(FILTER('棲息地'!$B$2:$B995 &amp; "" / "" &amp; '棲息地'!$C$2:$C995, ISNUMBER(SEARCH($B283, '棲息地'!$D$2:$D995))), 2), """")"),"")</f>
        <v/>
      </c>
      <c r="K283" s="36" t="str">
        <f>IFERROR(__xludf.DUMMYFUNCTION("IFERROR(INDEX(FILTER('棲息地'!$D$2:$D995, ISNUMBER(SEARCH($B283, '棲息地'!$D$2:$D995))), 2), """")"),"")</f>
        <v/>
      </c>
      <c r="L283" s="36" t="str">
        <f>IFERROR(__xludf.DUMMYFUNCTION("IFERROR(INDEX(FILTER('棲息地'!$D$2:$D995, ISNUMBER(SEARCH($B283, '棲息地'!$D$2:$D995))), 3), """")"),"")</f>
        <v/>
      </c>
      <c r="M283" s="36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22.5" customHeight="1">
      <c r="A284" s="33" t="s">
        <v>1939</v>
      </c>
      <c r="B284" s="34" t="s">
        <v>1940</v>
      </c>
      <c r="C284" s="35" t="s">
        <v>1192</v>
      </c>
      <c r="D284" s="34" t="s">
        <v>1080</v>
      </c>
      <c r="E284" s="35" t="s">
        <v>1093</v>
      </c>
      <c r="F284" s="35" t="s">
        <v>1941</v>
      </c>
      <c r="G284" s="35" t="s">
        <v>1083</v>
      </c>
      <c r="H284" s="36" t="str">
        <f>IFERROR(__xludf.DUMMYFUNCTION("IFERROR(INDEX(FILTER('棲息地'!$B$2:$B995 &amp; "" / "" &amp; '棲息地'!$C$2:$C995, ISNUMBER(SEARCH($B284, '棲息地'!$D$2:$D995))), 1), """")"),"漂亮的花田 / 原野之花 ×4")</f>
        <v>漂亮的花田 / 原野之花 ×4</v>
      </c>
      <c r="I284" s="36" t="str">
        <f>IFERROR(__xludf.DUMMYFUNCTION("IFERROR(INDEX(FILTER('棲息地'!$D$2:$D995, ISNUMBER(SEARCH($B284, '棲息地'!$D$2:$D995))), 1), """")"),"咕咕、三蜜蜂、伊布、波波（空空鎮)、鴨嘴寶寶（空空鎮)")</f>
        <v>咕咕、三蜜蜂、伊布、波波（空空鎮)、鴨嘴寶寶（空空鎮)</v>
      </c>
      <c r="J284" s="36" t="str">
        <f>IFERROR(__xludf.DUMMYFUNCTION("IFERROR(INDEX(FILTER('棲息地'!$B$2:$B995 &amp; "" / "" &amp; '棲息地'!$C$2:$C995, ISNUMBER(SEARCH($B284, '棲息地'!$D$2:$D995))), 2), """")"),"沁爽清藍 / 椅子 ×1、桌子 ×1、冰淇淋汽水 ×1")</f>
        <v>沁爽清藍 / 椅子 ×1、桌子 ×1、冰淇淋汽水 ×1</v>
      </c>
      <c r="K284" s="36" t="str">
        <f>IFERROR(__xludf.DUMMYFUNCTION("IFERROR(INDEX(FILTER('棲息地'!$D$2:$D995, ISNUMBER(SEARCH($B284, '棲息地'!$D$2:$D995))), 2), """")"),"水伊布（空空鎮)")</f>
        <v>水伊布（空空鎮)</v>
      </c>
      <c r="L284" s="36" t="str">
        <f>IFERROR(__xludf.DUMMYFUNCTION("IFERROR(INDEX(FILTER('棲息地'!$D$2:$D995, ISNUMBER(SEARCH($B284, '棲息地'!$D$2:$D995))), 3), """")"),"雷伊布（空空鎮)")</f>
        <v>雷伊布（空空鎮)</v>
      </c>
      <c r="M284" s="36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22.5" customHeight="1">
      <c r="A285" s="33" t="s">
        <v>1942</v>
      </c>
      <c r="B285" s="34" t="s">
        <v>1943</v>
      </c>
      <c r="C285" s="35" t="s">
        <v>1103</v>
      </c>
      <c r="D285" s="34" t="s">
        <v>1080</v>
      </c>
      <c r="E285" s="35" t="s">
        <v>1103</v>
      </c>
      <c r="F285" s="35" t="s">
        <v>1944</v>
      </c>
      <c r="G285" s="35" t="s">
        <v>1083</v>
      </c>
      <c r="H285" s="36" t="str">
        <f>IFERROR(__xludf.DUMMYFUNCTION("IFERROR(INDEX(FILTER('棲息地'!$B$2:$B995 &amp; "" / "" &amp; '棲息地'!$C$2:$C995, ISNUMBER(SEARCH($B285, '棲息地'!$D$2:$D995))), 1), """")"),"沁爽清藍 / 椅子 ×1、桌子 ×1、冰淇淋汽水 ×1")</f>
        <v>沁爽清藍 / 椅子 ×1、桌子 ×1、冰淇淋汽水 ×1</v>
      </c>
      <c r="I285" s="36" t="str">
        <f>IFERROR(__xludf.DUMMYFUNCTION("IFERROR(INDEX(FILTER('棲息地'!$D$2:$D995, ISNUMBER(SEARCH($B285, '棲息地'!$D$2:$D995))), 1), """")"),"水伊布（空空鎮)")</f>
        <v>水伊布（空空鎮)</v>
      </c>
      <c r="J285" s="36" t="str">
        <f>IFERROR(__xludf.DUMMYFUNCTION("IFERROR(INDEX(FILTER('棲息地'!$B$2:$B995 &amp; "" / "" &amp; '棲息地'!$C$2:$C995, ISNUMBER(SEARCH($B285, '棲息地'!$D$2:$D995))), 2), """")"),"")</f>
        <v/>
      </c>
      <c r="K285" s="36" t="str">
        <f>IFERROR(__xludf.DUMMYFUNCTION("IFERROR(INDEX(FILTER('棲息地'!$D$2:$D995, ISNUMBER(SEARCH($B285, '棲息地'!$D$2:$D995))), 2), """")"),"")</f>
        <v/>
      </c>
      <c r="L285" s="36" t="str">
        <f>IFERROR(__xludf.DUMMYFUNCTION("IFERROR(INDEX(FILTER('棲息地'!$D$2:$D995, ISNUMBER(SEARCH($B285, '棲息地'!$D$2:$D995))), 3), """")"),"")</f>
        <v/>
      </c>
      <c r="M285" s="36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22.5" customHeight="1">
      <c r="A286" s="33" t="s">
        <v>1945</v>
      </c>
      <c r="B286" s="34" t="s">
        <v>1946</v>
      </c>
      <c r="C286" s="35" t="s">
        <v>1169</v>
      </c>
      <c r="D286" s="34" t="s">
        <v>1080</v>
      </c>
      <c r="E286" s="35" t="s">
        <v>1081</v>
      </c>
      <c r="F286" s="35" t="s">
        <v>1947</v>
      </c>
      <c r="G286" s="35" t="s">
        <v>1095</v>
      </c>
      <c r="H286" s="36" t="str">
        <f>IFERROR(__xludf.DUMMYFUNCTION("IFERROR(INDEX(FILTER('棲息地'!$B$2:$B995 &amp; "" / "" &amp; '棲息地'!$C$2:$C995, ISNUMBER(SEARCH($B286, '棲息地'!$D$2:$D995))), 1), """")"),"麻麻薯餅 / 椅子 ×1、桌子 ×1、炸薯條 ×1")</f>
        <v>麻麻薯餅 / 椅子 ×1、桌子 ×1、炸薯條 ×1</v>
      </c>
      <c r="I286" s="36" t="str">
        <f>IFERROR(__xludf.DUMMYFUNCTION("IFERROR(INDEX(FILTER('棲息地'!$D$2:$D995, ISNUMBER(SEARCH($B286, '棲息地'!$D$2:$D995))), 1), """")"),"雷伊布（空空鎮)")</f>
        <v>雷伊布（空空鎮)</v>
      </c>
      <c r="J286" s="36" t="str">
        <f>IFERROR(__xludf.DUMMYFUNCTION("IFERROR(INDEX(FILTER('棲息地'!$B$2:$B995 &amp; "" / "" &amp; '棲息地'!$C$2:$C995, ISNUMBER(SEARCH($B286, '棲息地'!$D$2:$D995))), 2), """")"),"")</f>
        <v/>
      </c>
      <c r="K286" s="36" t="str">
        <f>IFERROR(__xludf.DUMMYFUNCTION("IFERROR(INDEX(FILTER('棲息地'!$D$2:$D995, ISNUMBER(SEARCH($B286, '棲息地'!$D$2:$D995))), 2), """")"),"")</f>
        <v/>
      </c>
      <c r="L286" s="36" t="str">
        <f>IFERROR(__xludf.DUMMYFUNCTION("IFERROR(INDEX(FILTER('棲息地'!$D$2:$D995, ISNUMBER(SEARCH($B286, '棲息地'!$D$2:$D995))), 3), """")"),"")</f>
        <v/>
      </c>
      <c r="M286" s="36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22.5" customHeight="1">
      <c r="A287" s="33" t="s">
        <v>1948</v>
      </c>
      <c r="B287" s="34" t="s">
        <v>1949</v>
      </c>
      <c r="C287" s="35" t="s">
        <v>2</v>
      </c>
      <c r="D287" s="34" t="s">
        <v>1080</v>
      </c>
      <c r="E287" s="35" t="s">
        <v>1093</v>
      </c>
      <c r="F287" s="35" t="s">
        <v>1950</v>
      </c>
      <c r="G287" s="35" t="s">
        <v>1095</v>
      </c>
      <c r="H287" s="36" t="str">
        <f>IFERROR(__xludf.DUMMYFUNCTION("IFERROR(INDEX(FILTER('棲息地'!$B$2:$B995 &amp; "" / "" &amp; '棲息地'!$C$2:$C995, ISNUMBER(SEARCH($B287, '棲息地'!$D$2:$D995))), 1), """")"),"辣到噴火 / 椅子 ×1、桌子 ×1、披薩 ×1")</f>
        <v>辣到噴火 / 椅子 ×1、桌子 ×1、披薩 ×1</v>
      </c>
      <c r="I287" s="36" t="str">
        <f>IFERROR(__xludf.DUMMYFUNCTION("IFERROR(INDEX(FILTER('棲息地'!$D$2:$D995, ISNUMBER(SEARCH($B287, '棲息地'!$D$2:$D995))), 1), """")"),"火伊布（空空鎮)")</f>
        <v>火伊布（空空鎮)</v>
      </c>
      <c r="J287" s="36" t="str">
        <f>IFERROR(__xludf.DUMMYFUNCTION("IFERROR(INDEX(FILTER('棲息地'!$B$2:$B995 &amp; "" / "" &amp; '棲息地'!$C$2:$C995, ISNUMBER(SEARCH($B287, '棲息地'!$D$2:$D995))), 2), """")"),"")</f>
        <v/>
      </c>
      <c r="K287" s="36" t="str">
        <f>IFERROR(__xludf.DUMMYFUNCTION("IFERROR(INDEX(FILTER('棲息地'!$D$2:$D995, ISNUMBER(SEARCH($B287, '棲息地'!$D$2:$D995))), 2), """")"),"")</f>
        <v/>
      </c>
      <c r="L287" s="36" t="str">
        <f>IFERROR(__xludf.DUMMYFUNCTION("IFERROR(INDEX(FILTER('棲息地'!$D$2:$D995, ISNUMBER(SEARCH($B287, '棲息地'!$D$2:$D995))), 3), """")"),"")</f>
        <v/>
      </c>
      <c r="M287" s="36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22.5" customHeight="1">
      <c r="A288" s="33" t="s">
        <v>1951</v>
      </c>
      <c r="B288" s="34" t="s">
        <v>1952</v>
      </c>
      <c r="C288" s="35" t="s">
        <v>1517</v>
      </c>
      <c r="D288" s="34" t="s">
        <v>1080</v>
      </c>
      <c r="E288" s="35" t="s">
        <v>1081</v>
      </c>
      <c r="F288" s="35" t="s">
        <v>1953</v>
      </c>
      <c r="G288" s="35" t="s">
        <v>1083</v>
      </c>
      <c r="H288" s="36" t="str">
        <f>IFERROR(__xludf.DUMMYFUNCTION("IFERROR(INDEX(FILTER('棲息地'!$B$2:$B995 &amp; "" / "" &amp; '棲息地'!$C$2:$C995, ISNUMBER(SEARCH($B288, '棲息地'!$D$2:$D995))), 1), """")"),"優雅的午後 / 椅子 ×1、桌子 ×1、下午茶套餐 ×1")</f>
        <v>優雅的午後 / 椅子 ×1、桌子 ×1、下午茶套餐 ×1</v>
      </c>
      <c r="I288" s="36" t="str">
        <f>IFERROR(__xludf.DUMMYFUNCTION("IFERROR(INDEX(FILTER('棲息地'!$D$2:$D995, ISNUMBER(SEARCH($B288, '棲息地'!$D$2:$D995))), 1), """")"),"太陽伊布（空空鎮)")</f>
        <v>太陽伊布（空空鎮)</v>
      </c>
      <c r="J288" s="36" t="str">
        <f>IFERROR(__xludf.DUMMYFUNCTION("IFERROR(INDEX(FILTER('棲息地'!$B$2:$B995 &amp; "" / "" &amp; '棲息地'!$C$2:$C995, ISNUMBER(SEARCH($B288, '棲息地'!$D$2:$D995))), 2), """")"),"")</f>
        <v/>
      </c>
      <c r="K288" s="36" t="str">
        <f>IFERROR(__xludf.DUMMYFUNCTION("IFERROR(INDEX(FILTER('棲息地'!$D$2:$D995, ISNUMBER(SEARCH($B288, '棲息地'!$D$2:$D995))), 2), """")"),"")</f>
        <v/>
      </c>
      <c r="L288" s="36" t="str">
        <f>IFERROR(__xludf.DUMMYFUNCTION("IFERROR(INDEX(FILTER('棲息地'!$D$2:$D995, ISNUMBER(SEARCH($B288, '棲息地'!$D$2:$D995))), 3), """")"),"")</f>
        <v/>
      </c>
      <c r="M288" s="36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22.5" customHeight="1">
      <c r="A289" s="33" t="s">
        <v>1954</v>
      </c>
      <c r="B289" s="34" t="s">
        <v>1955</v>
      </c>
      <c r="C289" s="35" t="s">
        <v>1139</v>
      </c>
      <c r="D289" s="34" t="s">
        <v>1080</v>
      </c>
      <c r="E289" s="35" t="s">
        <v>1200</v>
      </c>
      <c r="F289" s="35" t="s">
        <v>1956</v>
      </c>
      <c r="G289" s="35" t="s">
        <v>1125</v>
      </c>
      <c r="H289" s="36" t="str">
        <f>IFERROR(__xludf.DUMMYFUNCTION("IFERROR(INDEX(FILTER('棲息地'!$B$2:$B995 &amp; "" / "" &amp; '棲息地'!$C$2:$C995, ISNUMBER(SEARCH($B289, '棲息地'!$D$2:$D995))), 1), """")"),"黑色的滋味 / 椅子 ×1、桌子 ×1、巧克力餅乾 ×1")</f>
        <v>黑色的滋味 / 椅子 ×1、桌子 ×1、巧克力餅乾 ×1</v>
      </c>
      <c r="I289" s="36" t="str">
        <f>IFERROR(__xludf.DUMMYFUNCTION("IFERROR(INDEX(FILTER('棲息地'!$D$2:$D995, ISNUMBER(SEARCH($B289, '棲息地'!$D$2:$D995))), 1), """")"),"月亮伊布（空空鎮)")</f>
        <v>月亮伊布（空空鎮)</v>
      </c>
      <c r="J289" s="36" t="str">
        <f>IFERROR(__xludf.DUMMYFUNCTION("IFERROR(INDEX(FILTER('棲息地'!$B$2:$B995 &amp; "" / "" &amp; '棲息地'!$C$2:$C995, ISNUMBER(SEARCH($B289, '棲息地'!$D$2:$D995))), 2), """")"),"")</f>
        <v/>
      </c>
      <c r="K289" s="36" t="str">
        <f>IFERROR(__xludf.DUMMYFUNCTION("IFERROR(INDEX(FILTER('棲息地'!$D$2:$D995, ISNUMBER(SEARCH($B289, '棲息地'!$D$2:$D995))), 2), """")"),"")</f>
        <v/>
      </c>
      <c r="L289" s="36" t="str">
        <f>IFERROR(__xludf.DUMMYFUNCTION("IFERROR(INDEX(FILTER('棲息地'!$D$2:$D995, ISNUMBER(SEARCH($B289, '棲息地'!$D$2:$D995))), 3), """")"),"")</f>
        <v/>
      </c>
      <c r="M289" s="36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22.5" customHeight="1">
      <c r="A290" s="33" t="s">
        <v>1957</v>
      </c>
      <c r="B290" s="34" t="s">
        <v>1958</v>
      </c>
      <c r="C290" s="35" t="s">
        <v>1079</v>
      </c>
      <c r="D290" s="34" t="s">
        <v>1080</v>
      </c>
      <c r="E290" s="35" t="s">
        <v>1081</v>
      </c>
      <c r="F290" s="35" t="s">
        <v>1959</v>
      </c>
      <c r="G290" s="35" t="s">
        <v>1087</v>
      </c>
      <c r="H290" s="36" t="str">
        <f>IFERROR(__xludf.DUMMYFUNCTION("IFERROR(INDEX(FILTER('棲息地'!$B$2:$B995 &amp; "" / "" &amp; '棲息地'!$C$2:$C995, ISNUMBER(SEARCH($B290, '棲息地'!$D$2:$D995))), 1), """")"),"綠色三明治 / 椅子 ×1、桌子 ×1、三明治 ×1")</f>
        <v>綠色三明治 / 椅子 ×1、桌子 ×1、三明治 ×1</v>
      </c>
      <c r="I290" s="36" t="str">
        <f>IFERROR(__xludf.DUMMYFUNCTION("IFERROR(INDEX(FILTER('棲息地'!$D$2:$D995, ISNUMBER(SEARCH($B290, '棲息地'!$D$2:$D995))), 1), """")"),"葉伊布（空空鎮)")</f>
        <v>葉伊布（空空鎮)</v>
      </c>
      <c r="J290" s="36" t="str">
        <f>IFERROR(__xludf.DUMMYFUNCTION("IFERROR(INDEX(FILTER('棲息地'!$B$2:$B995 &amp; "" / "" &amp; '棲息地'!$C$2:$C995, ISNUMBER(SEARCH($B290, '棲息地'!$D$2:$D995))), 2), """")"),"")</f>
        <v/>
      </c>
      <c r="K290" s="36" t="str">
        <f>IFERROR(__xludf.DUMMYFUNCTION("IFERROR(INDEX(FILTER('棲息地'!$D$2:$D995, ISNUMBER(SEARCH($B290, '棲息地'!$D$2:$D995))), 2), """")"),"")</f>
        <v/>
      </c>
      <c r="L290" s="36" t="str">
        <f>IFERROR(__xludf.DUMMYFUNCTION("IFERROR(INDEX(FILTER('棲息地'!$D$2:$D995, ISNUMBER(SEARCH($B290, '棲息地'!$D$2:$D995))), 3), """")"),"")</f>
        <v/>
      </c>
      <c r="M290" s="36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22.5" customHeight="1">
      <c r="A291" s="33" t="s">
        <v>1960</v>
      </c>
      <c r="B291" s="34" t="s">
        <v>1961</v>
      </c>
      <c r="C291" s="35" t="s">
        <v>1192</v>
      </c>
      <c r="D291" s="34" t="s">
        <v>1080</v>
      </c>
      <c r="E291" s="35" t="s">
        <v>1351</v>
      </c>
      <c r="F291" s="35" t="s">
        <v>1962</v>
      </c>
      <c r="G291" s="35" t="s">
        <v>1083</v>
      </c>
      <c r="H291" s="36" t="str">
        <f>IFERROR(__xludf.DUMMYFUNCTION("IFERROR(INDEX(FILTER('棲息地'!$B$2:$B995 &amp; "" / "" &amp; '棲息地'!$C$2:$C995, ISNUMBER(SEARCH($B291, '棲息地'!$D$2:$D995))), 1), """")"),"沁涼刨冰 / 椅子 ×1、桌子 ×1、刨冰 ×1")</f>
        <v>沁涼刨冰 / 椅子 ×1、桌子 ×1、刨冰 ×1</v>
      </c>
      <c r="I291" s="36" t="str">
        <f>IFERROR(__xludf.DUMMYFUNCTION("IFERROR(INDEX(FILTER('棲息地'!$D$2:$D995, ISNUMBER(SEARCH($B291, '棲息地'!$D$2:$D995))), 1), """")"),"冰伊布（空空鎮)")</f>
        <v>冰伊布（空空鎮)</v>
      </c>
      <c r="J291" s="36" t="str">
        <f>IFERROR(__xludf.DUMMYFUNCTION("IFERROR(INDEX(FILTER('棲息地'!$B$2:$B995 &amp; "" / "" &amp; '棲息地'!$C$2:$C995, ISNUMBER(SEARCH($B291, '棲息地'!$D$2:$D995))), 2), """")"),"")</f>
        <v/>
      </c>
      <c r="K291" s="36" t="str">
        <f>IFERROR(__xludf.DUMMYFUNCTION("IFERROR(INDEX(FILTER('棲息地'!$D$2:$D995, ISNUMBER(SEARCH($B291, '棲息地'!$D$2:$D995))), 2), """")"),"")</f>
        <v/>
      </c>
      <c r="L291" s="36" t="str">
        <f>IFERROR(__xludf.DUMMYFUNCTION("IFERROR(INDEX(FILTER('棲息地'!$D$2:$D995, ISNUMBER(SEARCH($B291, '棲息地'!$D$2:$D995))), 3), """")"),"")</f>
        <v/>
      </c>
      <c r="M291" s="36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22.5" customHeight="1">
      <c r="A292" s="33" t="s">
        <v>1963</v>
      </c>
      <c r="B292" s="34" t="s">
        <v>1964</v>
      </c>
      <c r="C292" s="35" t="s">
        <v>1247</v>
      </c>
      <c r="D292" s="34" t="s">
        <v>1080</v>
      </c>
      <c r="E292" s="35" t="s">
        <v>1093</v>
      </c>
      <c r="F292" s="35" t="s">
        <v>1965</v>
      </c>
      <c r="G292" s="35" t="s">
        <v>1083</v>
      </c>
      <c r="H292" s="36" t="str">
        <f>IFERROR(__xludf.DUMMYFUNCTION("IFERROR(INDEX(FILTER('棲息地'!$B$2:$B995 &amp; "" / "" &amp; '棲息地'!$C$2:$C995, ISNUMBER(SEARCH($B292, '棲息地'!$D$2:$D995))), 1), """")"),"可愛的蛋糕 / 椅子 ×1、桌子 ×1、緞帶蛋糕 ×1")</f>
        <v>可愛的蛋糕 / 椅子 ×1、桌子 ×1、緞帶蛋糕 ×1</v>
      </c>
      <c r="I292" s="36" t="str">
        <f>IFERROR(__xludf.DUMMYFUNCTION("IFERROR(INDEX(FILTER('棲息地'!$D$2:$D995, ISNUMBER(SEARCH($B292, '棲息地'!$D$2:$D995))), 1), """")"),"仙子伊布（空空鎮)")</f>
        <v>仙子伊布（空空鎮)</v>
      </c>
      <c r="J292" s="36" t="str">
        <f>IFERROR(__xludf.DUMMYFUNCTION("IFERROR(INDEX(FILTER('棲息地'!$B$2:$B995 &amp; "" / "" &amp; '棲息地'!$C$2:$C995, ISNUMBER(SEARCH($B292, '棲息地'!$D$2:$D995))), 2), """")"),"")</f>
        <v/>
      </c>
      <c r="K292" s="36" t="str">
        <f>IFERROR(__xludf.DUMMYFUNCTION("IFERROR(INDEX(FILTER('棲息地'!$D$2:$D995, ISNUMBER(SEARCH($B292, '棲息地'!$D$2:$D995))), 2), """")"),"")</f>
        <v/>
      </c>
      <c r="L292" s="36" t="str">
        <f>IFERROR(__xludf.DUMMYFUNCTION("IFERROR(INDEX(FILTER('棲息地'!$D$2:$D995, ISNUMBER(SEARCH($B292, '棲息地'!$D$2:$D995))), 3), """")"),"")</f>
        <v/>
      </c>
      <c r="M292" s="36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22.5" customHeight="1">
      <c r="A293" s="33" t="s">
        <v>1966</v>
      </c>
      <c r="B293" s="34" t="s">
        <v>1967</v>
      </c>
      <c r="C293" s="35" t="s">
        <v>1684</v>
      </c>
      <c r="D293" s="34" t="s">
        <v>1080</v>
      </c>
      <c r="E293" s="35" t="s">
        <v>1103</v>
      </c>
      <c r="F293" s="35" t="s">
        <v>1968</v>
      </c>
      <c r="G293" s="35" t="s">
        <v>1129</v>
      </c>
      <c r="H293" s="36" t="str">
        <f>IFERROR(__xludf.DUMMYFUNCTION("IFERROR(INDEX(FILTER('棲息地'!$B$2:$B995 &amp; "" / "" &amp; '棲息地'!$C$2:$C995, ISNUMBER(SEARCH($B293, '棲息地'!$D$2:$D995))), 1), """")"),"")</f>
        <v/>
      </c>
      <c r="I293" s="36" t="str">
        <f>IFERROR(__xludf.DUMMYFUNCTION("IFERROR(INDEX(FILTER('棲息地'!$D$2:$D995, ISNUMBER(SEARCH($B293, '棲息地'!$D$2:$D995))), 1), """")"),"")</f>
        <v/>
      </c>
      <c r="J293" s="36" t="str">
        <f>IFERROR(__xludf.DUMMYFUNCTION("IFERROR(INDEX(FILTER('棲息地'!$B$2:$B995 &amp; "" / "" &amp; '棲息地'!$C$2:$C995, ISNUMBER(SEARCH($B293, '棲息地'!$D$2:$D995))), 2), """")"),"")</f>
        <v/>
      </c>
      <c r="K293" s="36" t="str">
        <f>IFERROR(__xludf.DUMMYFUNCTION("IFERROR(INDEX(FILTER('棲息地'!$D$2:$D995, ISNUMBER(SEARCH($B293, '棲息地'!$D$2:$D995))), 2), """")"),"")</f>
        <v/>
      </c>
      <c r="L293" s="36" t="str">
        <f>IFERROR(__xludf.DUMMYFUNCTION("IFERROR(INDEX(FILTER('棲息地'!$D$2:$D995, ISNUMBER(SEARCH($B293, '棲息地'!$D$2:$D995))), 3), """")"),"")</f>
        <v/>
      </c>
      <c r="M293" s="36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22.5" customHeight="1">
      <c r="A294" s="33" t="s">
        <v>1969</v>
      </c>
      <c r="B294" s="34" t="s">
        <v>1970</v>
      </c>
      <c r="C294" s="35" t="s">
        <v>1169</v>
      </c>
      <c r="D294" s="34" t="s">
        <v>1080</v>
      </c>
      <c r="E294" s="35" t="s">
        <v>1081</v>
      </c>
      <c r="F294" s="35" t="s">
        <v>1971</v>
      </c>
      <c r="G294" s="35" t="s">
        <v>1129</v>
      </c>
      <c r="H294" s="36" t="str">
        <f>IFERROR(__xludf.DUMMYFUNCTION("IFERROR(INDEX(FILTER('棲息地'!$B$2:$B995 &amp; "" / "" &amp; '棲息地'!$C$2:$C995, ISNUMBER(SEARCH($B294, '棲息地'!$D$2:$D995))), 1), """")"),"")</f>
        <v/>
      </c>
      <c r="I294" s="36" t="str">
        <f>IFERROR(__xludf.DUMMYFUNCTION("IFERROR(INDEX(FILTER('棲息地'!$D$2:$D995, ISNUMBER(SEARCH($B294, '棲息地'!$D$2:$D995))), 1), """")"),"")</f>
        <v/>
      </c>
      <c r="J294" s="36" t="str">
        <f>IFERROR(__xludf.DUMMYFUNCTION("IFERROR(INDEX(FILTER('棲息地'!$B$2:$B995 &amp; "" / "" &amp; '棲息地'!$C$2:$C995, ISNUMBER(SEARCH($B294, '棲息地'!$D$2:$D995))), 2), """")"),"")</f>
        <v/>
      </c>
      <c r="K294" s="36" t="str">
        <f>IFERROR(__xludf.DUMMYFUNCTION("IFERROR(INDEX(FILTER('棲息地'!$D$2:$D995, ISNUMBER(SEARCH($B294, '棲息地'!$D$2:$D995))), 2), """")"),"")</f>
        <v/>
      </c>
      <c r="L294" s="36" t="str">
        <f>IFERROR(__xludf.DUMMYFUNCTION("IFERROR(INDEX(FILTER('棲息地'!$D$2:$D995, ISNUMBER(SEARCH($B294, '棲息地'!$D$2:$D995))), 3), """")"),"")</f>
        <v/>
      </c>
      <c r="M294" s="36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22.5" customHeight="1">
      <c r="A295" s="33" t="s">
        <v>1972</v>
      </c>
      <c r="B295" s="34" t="s">
        <v>1973</v>
      </c>
      <c r="C295" s="35" t="s">
        <v>2</v>
      </c>
      <c r="D295" s="34" t="s">
        <v>1080</v>
      </c>
      <c r="E295" s="35" t="s">
        <v>1093</v>
      </c>
      <c r="F295" s="35" t="s">
        <v>1974</v>
      </c>
      <c r="G295" s="35" t="s">
        <v>1125</v>
      </c>
      <c r="H295" s="36" t="str">
        <f>IFERROR(__xludf.DUMMYFUNCTION("IFERROR(INDEX(FILTER('棲息地'!$B$2:$B995 &amp; "" / "" &amp; '棲息地'!$C$2:$C995, ISNUMBER(SEARCH($B295, '棲息地'!$D$2:$D995))), 1), """")"),"")</f>
        <v/>
      </c>
      <c r="I295" s="36" t="str">
        <f>IFERROR(__xludf.DUMMYFUNCTION("IFERROR(INDEX(FILTER('棲息地'!$D$2:$D995, ISNUMBER(SEARCH($B295, '棲息地'!$D$2:$D995))), 1), """")"),"")</f>
        <v/>
      </c>
      <c r="J295" s="36" t="str">
        <f>IFERROR(__xludf.DUMMYFUNCTION("IFERROR(INDEX(FILTER('棲息地'!$B$2:$B995 &amp; "" / "" &amp; '棲息地'!$C$2:$C995, ISNUMBER(SEARCH($B295, '棲息地'!$D$2:$D995))), 2), """")"),"")</f>
        <v/>
      </c>
      <c r="K295" s="36" t="str">
        <f>IFERROR(__xludf.DUMMYFUNCTION("IFERROR(INDEX(FILTER('棲息地'!$D$2:$D995, ISNUMBER(SEARCH($B295, '棲息地'!$D$2:$D995))), 2), """")"),"")</f>
        <v/>
      </c>
      <c r="L295" s="36" t="str">
        <f>IFERROR(__xludf.DUMMYFUNCTION("IFERROR(INDEX(FILTER('棲息地'!$D$2:$D995, ISNUMBER(SEARCH($B295, '棲息地'!$D$2:$D995))), 3), """")"),"")</f>
        <v/>
      </c>
      <c r="M295" s="36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22.5" customHeight="1">
      <c r="A296" s="33" t="s">
        <v>1975</v>
      </c>
      <c r="B296" s="34" t="s">
        <v>1976</v>
      </c>
      <c r="C296" s="35" t="s">
        <v>1103</v>
      </c>
      <c r="D296" s="34" t="s">
        <v>1080</v>
      </c>
      <c r="E296" s="35" t="s">
        <v>1103</v>
      </c>
      <c r="F296" s="35" t="s">
        <v>1977</v>
      </c>
      <c r="G296" s="35" t="s">
        <v>1087</v>
      </c>
      <c r="H296" s="36" t="str">
        <f>IFERROR(__xludf.DUMMYFUNCTION("IFERROR(INDEX(FILTER('棲息地'!$B$2:$B995 &amp; "" / "" &amp; '棲息地'!$C$2:$C995, ISNUMBER(SEARCH($B296, '棲息地'!$D$2:$D995))), 1), """")"),"")</f>
        <v/>
      </c>
      <c r="I296" s="36" t="str">
        <f>IFERROR(__xludf.DUMMYFUNCTION("IFERROR(INDEX(FILTER('棲息地'!$D$2:$D995, ISNUMBER(SEARCH($B296, '棲息地'!$D$2:$D995))), 1), """")"),"")</f>
        <v/>
      </c>
      <c r="J296" s="36" t="str">
        <f>IFERROR(__xludf.DUMMYFUNCTION("IFERROR(INDEX(FILTER('棲息地'!$B$2:$B995 &amp; "" / "" &amp; '棲息地'!$C$2:$C995, ISNUMBER(SEARCH($B296, '棲息地'!$D$2:$D995))), 2), """")"),"")</f>
        <v/>
      </c>
      <c r="K296" s="36" t="str">
        <f>IFERROR(__xludf.DUMMYFUNCTION("IFERROR(INDEX(FILTER('棲息地'!$D$2:$D995, ISNUMBER(SEARCH($B296, '棲息地'!$D$2:$D995))), 2), """")"),"")</f>
        <v/>
      </c>
      <c r="L296" s="36" t="str">
        <f>IFERROR(__xludf.DUMMYFUNCTION("IFERROR(INDEX(FILTER('棲息地'!$D$2:$D995, ISNUMBER(SEARCH($B296, '棲息地'!$D$2:$D995))), 3), """")"),"")</f>
        <v/>
      </c>
      <c r="M296" s="36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22.5" customHeight="1">
      <c r="A297" s="33" t="s">
        <v>1978</v>
      </c>
      <c r="B297" s="34" t="s">
        <v>1979</v>
      </c>
      <c r="C297" s="35" t="s">
        <v>2</v>
      </c>
      <c r="D297" s="34" t="s">
        <v>1080</v>
      </c>
      <c r="E297" s="35" t="s">
        <v>1093</v>
      </c>
      <c r="F297" s="35" t="s">
        <v>1980</v>
      </c>
      <c r="G297" s="35" t="s">
        <v>1095</v>
      </c>
      <c r="H297" s="36" t="str">
        <f>IFERROR(__xludf.DUMMYFUNCTION("IFERROR(INDEX(FILTER('棲息地'!$B$2:$B995 &amp; "" / "" &amp; '棲息地'!$C$2:$C995, ISNUMBER(SEARCH($B297, '棲息地'!$D$2:$D995))), 1), """")"),"")</f>
        <v/>
      </c>
      <c r="I297" s="36" t="str">
        <f>IFERROR(__xludf.DUMMYFUNCTION("IFERROR(INDEX(FILTER('棲息地'!$D$2:$D995, ISNUMBER(SEARCH($B297, '棲息地'!$D$2:$D995))), 1), """")"),"")</f>
        <v/>
      </c>
      <c r="J297" s="36" t="str">
        <f>IFERROR(__xludf.DUMMYFUNCTION("IFERROR(INDEX(FILTER('棲息地'!$B$2:$B995 &amp; "" / "" &amp; '棲息地'!$C$2:$C995, ISNUMBER(SEARCH($B297, '棲息地'!$D$2:$D995))), 2), """")"),"")</f>
        <v/>
      </c>
      <c r="K297" s="36" t="str">
        <f>IFERROR(__xludf.DUMMYFUNCTION("IFERROR(INDEX(FILTER('棲息地'!$D$2:$D995, ISNUMBER(SEARCH($B297, '棲息地'!$D$2:$D995))), 2), """")"),"")</f>
        <v/>
      </c>
      <c r="L297" s="36" t="str">
        <f>IFERROR(__xludf.DUMMYFUNCTION("IFERROR(INDEX(FILTER('棲息地'!$D$2:$D995, ISNUMBER(SEARCH($B297, '棲息地'!$D$2:$D995))), 3), """")"),"")</f>
        <v/>
      </c>
      <c r="M297" s="36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22.5" customHeight="1">
      <c r="A298" s="33" t="s">
        <v>1981</v>
      </c>
      <c r="B298" s="34" t="s">
        <v>1982</v>
      </c>
      <c r="C298" s="35" t="s">
        <v>1914</v>
      </c>
      <c r="D298" s="34" t="s">
        <v>1080</v>
      </c>
      <c r="E298" s="35" t="s">
        <v>1351</v>
      </c>
      <c r="F298" s="35" t="s">
        <v>1983</v>
      </c>
      <c r="G298" s="35" t="s">
        <v>1087</v>
      </c>
      <c r="H298" s="36" t="str">
        <f>IFERROR(__xludf.DUMMYFUNCTION("IFERROR(INDEX(FILTER('棲息地'!$B$2:$B995 &amp; "" / "" &amp; '棲息地'!$C$2:$C995, ISNUMBER(SEARCH($B298, '棲息地'!$D$2:$D995))), 1), """")"),"")</f>
        <v/>
      </c>
      <c r="I298" s="36" t="str">
        <f>IFERROR(__xludf.DUMMYFUNCTION("IFERROR(INDEX(FILTER('棲息地'!$D$2:$D995, ISNUMBER(SEARCH($B298, '棲息地'!$D$2:$D995))), 1), """")"),"")</f>
        <v/>
      </c>
      <c r="J298" s="36" t="str">
        <f>IFERROR(__xludf.DUMMYFUNCTION("IFERROR(INDEX(FILTER('棲息地'!$B$2:$B995 &amp; "" / "" &amp; '棲息地'!$C$2:$C995, ISNUMBER(SEARCH($B298, '棲息地'!$D$2:$D995))), 2), """")"),"")</f>
        <v/>
      </c>
      <c r="K298" s="36" t="str">
        <f>IFERROR(__xludf.DUMMYFUNCTION("IFERROR(INDEX(FILTER('棲息地'!$D$2:$D995, ISNUMBER(SEARCH($B298, '棲息地'!$D$2:$D995))), 2), """")"),"")</f>
        <v/>
      </c>
      <c r="L298" s="36" t="str">
        <f>IFERROR(__xludf.DUMMYFUNCTION("IFERROR(INDEX(FILTER('棲息地'!$D$2:$D995, ISNUMBER(SEARCH($B298, '棲息地'!$D$2:$D995))), 3), """")"),"")</f>
        <v/>
      </c>
      <c r="M298" s="36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22.5" customHeight="1">
      <c r="A299" s="33" t="s">
        <v>1984</v>
      </c>
      <c r="B299" s="34" t="s">
        <v>1985</v>
      </c>
      <c r="C299" s="35" t="s">
        <v>1914</v>
      </c>
      <c r="D299" s="34" t="s">
        <v>1080</v>
      </c>
      <c r="E299" s="35" t="s">
        <v>1081</v>
      </c>
      <c r="F299" s="35" t="s">
        <v>1986</v>
      </c>
      <c r="G299" s="35" t="s">
        <v>1095</v>
      </c>
      <c r="H299" s="36" t="str">
        <f>IFERROR(__xludf.DUMMYFUNCTION("IFERROR(INDEX(FILTER('棲息地'!$B$2:$B995 &amp; "" / "" &amp; '棲息地'!$C$2:$C995, ISNUMBER(SEARCH($B299, '棲息地'!$D$2:$D995))), 1), """")"),"")</f>
        <v/>
      </c>
      <c r="I299" s="36" t="str">
        <f>IFERROR(__xludf.DUMMYFUNCTION("IFERROR(INDEX(FILTER('棲息地'!$D$2:$D995, ISNUMBER(SEARCH($B299, '棲息地'!$D$2:$D995))), 1), """")"),"")</f>
        <v/>
      </c>
      <c r="J299" s="36" t="str">
        <f>IFERROR(__xludf.DUMMYFUNCTION("IFERROR(INDEX(FILTER('棲息地'!$B$2:$B995 &amp; "" / "" &amp; '棲息地'!$C$2:$C995, ISNUMBER(SEARCH($B299, '棲息地'!$D$2:$D995))), 2), """")"),"")</f>
        <v/>
      </c>
      <c r="K299" s="36" t="str">
        <f>IFERROR(__xludf.DUMMYFUNCTION("IFERROR(INDEX(FILTER('棲息地'!$D$2:$D995, ISNUMBER(SEARCH($B299, '棲息地'!$D$2:$D995))), 2), """")"),"")</f>
        <v/>
      </c>
      <c r="L299" s="36" t="str">
        <f>IFERROR(__xludf.DUMMYFUNCTION("IFERROR(INDEX(FILTER('棲息地'!$D$2:$D995, ISNUMBER(SEARCH($B299, '棲息地'!$D$2:$D995))), 3), """")"),"")</f>
        <v/>
      </c>
      <c r="M299" s="36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22.5" customHeight="1">
      <c r="A300" s="33" t="s">
        <v>1987</v>
      </c>
      <c r="B300" s="34" t="s">
        <v>1988</v>
      </c>
      <c r="C300" s="35" t="s">
        <v>1914</v>
      </c>
      <c r="D300" s="34" t="s">
        <v>1080</v>
      </c>
      <c r="E300" s="35" t="s">
        <v>1093</v>
      </c>
      <c r="F300" s="35" t="s">
        <v>1989</v>
      </c>
      <c r="G300" s="35" t="s">
        <v>1095</v>
      </c>
      <c r="H300" s="36" t="str">
        <f>IFERROR(__xludf.DUMMYFUNCTION("IFERROR(INDEX(FILTER('棲息地'!$B$2:$B995 &amp; "" / "" &amp; '棲息地'!$C$2:$C995, ISNUMBER(SEARCH($B300, '棲息地'!$D$2:$D995))), 1), """")"),"")</f>
        <v/>
      </c>
      <c r="I300" s="36" t="str">
        <f>IFERROR(__xludf.DUMMYFUNCTION("IFERROR(INDEX(FILTER('棲息地'!$D$2:$D995, ISNUMBER(SEARCH($B300, '棲息地'!$D$2:$D995))), 1), """")"),"")</f>
        <v/>
      </c>
      <c r="J300" s="36" t="str">
        <f>IFERROR(__xludf.DUMMYFUNCTION("IFERROR(INDEX(FILTER('棲息地'!$B$2:$B995 &amp; "" / "" &amp; '棲息地'!$C$2:$C995, ISNUMBER(SEARCH($B300, '棲息地'!$D$2:$D995))), 2), """")"),"")</f>
        <v/>
      </c>
      <c r="K300" s="36" t="str">
        <f>IFERROR(__xludf.DUMMYFUNCTION("IFERROR(INDEX(FILTER('棲息地'!$D$2:$D995, ISNUMBER(SEARCH($B300, '棲息地'!$D$2:$D995))), 2), """")"),"")</f>
        <v/>
      </c>
      <c r="L300" s="36" t="str">
        <f>IFERROR(__xludf.DUMMYFUNCTION("IFERROR(INDEX(FILTER('棲息地'!$D$2:$D995, ISNUMBER(SEARCH($B300, '棲息地'!$D$2:$D995))), 3), """")"),"")</f>
        <v/>
      </c>
      <c r="M300" s="36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22.5" customHeight="1">
      <c r="A301" s="33" t="s">
        <v>1990</v>
      </c>
      <c r="B301" s="34" t="s">
        <v>1991</v>
      </c>
      <c r="C301" s="35" t="s">
        <v>1684</v>
      </c>
      <c r="D301" s="34" t="s">
        <v>1080</v>
      </c>
      <c r="E301" s="35" t="s">
        <v>1103</v>
      </c>
      <c r="F301" s="35" t="s">
        <v>1992</v>
      </c>
      <c r="G301" s="35" t="s">
        <v>1129</v>
      </c>
      <c r="H301" s="36" t="str">
        <f>IFERROR(__xludf.DUMMYFUNCTION("IFERROR(INDEX(FILTER('棲息地'!$B$2:$B995 &amp; "" / "" &amp; '棲息地'!$C$2:$C995, ISNUMBER(SEARCH($B301, '棲息地'!$D$2:$D995))), 1), """")"),"")</f>
        <v/>
      </c>
      <c r="I301" s="36" t="str">
        <f>IFERROR(__xludf.DUMMYFUNCTION("IFERROR(INDEX(FILTER('棲息地'!$D$2:$D995, ISNUMBER(SEARCH($B301, '棲息地'!$D$2:$D995))), 1), """")"),"")</f>
        <v/>
      </c>
      <c r="J301" s="36" t="str">
        <f>IFERROR(__xludf.DUMMYFUNCTION("IFERROR(INDEX(FILTER('棲息地'!$B$2:$B995 &amp; "" / "" &amp; '棲息地'!$C$2:$C995, ISNUMBER(SEARCH($B301, '棲息地'!$D$2:$D995))), 2), """")"),"")</f>
        <v/>
      </c>
      <c r="K301" s="36" t="str">
        <f>IFERROR(__xludf.DUMMYFUNCTION("IFERROR(INDEX(FILTER('棲息地'!$D$2:$D995, ISNUMBER(SEARCH($B301, '棲息地'!$D$2:$D995))), 2), """")"),"")</f>
        <v/>
      </c>
      <c r="L301" s="36" t="str">
        <f>IFERROR(__xludf.DUMMYFUNCTION("IFERROR(INDEX(FILTER('棲息地'!$D$2:$D995, ISNUMBER(SEARCH($B301, '棲息地'!$D$2:$D995))), 3), """")"),"")</f>
        <v/>
      </c>
      <c r="M301" s="36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22.5" customHeight="1">
      <c r="A302" s="33" t="s">
        <v>1993</v>
      </c>
      <c r="B302" s="34" t="s">
        <v>1994</v>
      </c>
      <c r="C302" s="35" t="s">
        <v>1684</v>
      </c>
      <c r="D302" s="34" t="s">
        <v>1080</v>
      </c>
      <c r="E302" s="35" t="s">
        <v>1093</v>
      </c>
      <c r="F302" s="35" t="s">
        <v>1995</v>
      </c>
      <c r="G302" s="35" t="s">
        <v>1095</v>
      </c>
      <c r="H302" s="36" t="str">
        <f>IFERROR(__xludf.DUMMYFUNCTION("IFERROR(INDEX(FILTER('棲息地'!$B$2:$B995 &amp; "" / "" &amp; '棲息地'!$C$2:$C995, ISNUMBER(SEARCH($B302, '棲息地'!$D$2:$D995))), 1), """")"),"")</f>
        <v/>
      </c>
      <c r="I302" s="36" t="str">
        <f>IFERROR(__xludf.DUMMYFUNCTION("IFERROR(INDEX(FILTER('棲息地'!$D$2:$D995, ISNUMBER(SEARCH($B302, '棲息地'!$D$2:$D995))), 1), """")"),"")</f>
        <v/>
      </c>
      <c r="J302" s="36" t="str">
        <f>IFERROR(__xludf.DUMMYFUNCTION("IFERROR(INDEX(FILTER('棲息地'!$B$2:$B995 &amp; "" / "" &amp; '棲息地'!$C$2:$C995, ISNUMBER(SEARCH($B302, '棲息地'!$D$2:$D995))), 2), """")"),"")</f>
        <v/>
      </c>
      <c r="K302" s="36" t="str">
        <f>IFERROR(__xludf.DUMMYFUNCTION("IFERROR(INDEX(FILTER('棲息地'!$D$2:$D995, ISNUMBER(SEARCH($B302, '棲息地'!$D$2:$D995))), 2), """")"),"")</f>
        <v/>
      </c>
      <c r="L302" s="36" t="str">
        <f>IFERROR(__xludf.DUMMYFUNCTION("IFERROR(INDEX(FILTER('棲息地'!$D$2:$D995, ISNUMBER(SEARCH($B302, '棲息地'!$D$2:$D995))), 3), """")"),"")</f>
        <v/>
      </c>
      <c r="M302" s="36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22.5" customHeight="1">
      <c r="A303" s="33" t="s">
        <v>1996</v>
      </c>
      <c r="B303" s="34" t="s">
        <v>1997</v>
      </c>
      <c r="C303" s="35" t="s">
        <v>1746</v>
      </c>
      <c r="D303" s="34" t="s">
        <v>1080</v>
      </c>
      <c r="E303" s="35" t="s">
        <v>1200</v>
      </c>
      <c r="F303" s="35" t="s">
        <v>1998</v>
      </c>
      <c r="G303" s="35" t="s">
        <v>1129</v>
      </c>
      <c r="H303" s="36" t="str">
        <f>IFERROR(__xludf.DUMMYFUNCTION("IFERROR(INDEX(FILTER('棲息地'!$B$2:$B995 &amp; "" / "" &amp; '棲息地'!$C$2:$C995, ISNUMBER(SEARCH($B303, '棲息地'!$D$2:$D995))), 1), """")"),"")</f>
        <v/>
      </c>
      <c r="I303" s="36" t="str">
        <f>IFERROR(__xludf.DUMMYFUNCTION("IFERROR(INDEX(FILTER('棲息地'!$D$2:$D995, ISNUMBER(SEARCH($B303, '棲息地'!$D$2:$D995))), 1), """")"),"")</f>
        <v/>
      </c>
      <c r="J303" s="36" t="str">
        <f>IFERROR(__xludf.DUMMYFUNCTION("IFERROR(INDEX(FILTER('棲息地'!$B$2:$B995 &amp; "" / "" &amp; '棲息地'!$C$2:$C995, ISNUMBER(SEARCH($B303, '棲息地'!$D$2:$D995))), 2), """")"),"")</f>
        <v/>
      </c>
      <c r="K303" s="36" t="str">
        <f>IFERROR(__xludf.DUMMYFUNCTION("IFERROR(INDEX(FILTER('棲息地'!$D$2:$D995, ISNUMBER(SEARCH($B303, '棲息地'!$D$2:$D995))), 2), """")"),"")</f>
        <v/>
      </c>
      <c r="L303" s="36" t="str">
        <f>IFERROR(__xludf.DUMMYFUNCTION("IFERROR(INDEX(FILTER('棲息地'!$D$2:$D995, ISNUMBER(SEARCH($B303, '棲息地'!$D$2:$D995))), 3), """")"),"")</f>
        <v/>
      </c>
      <c r="M303" s="36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22.5" customHeight="1">
      <c r="A304" s="33" t="s">
        <v>1999</v>
      </c>
      <c r="B304" s="34" t="s">
        <v>2000</v>
      </c>
      <c r="C304" s="35" t="s">
        <v>1746</v>
      </c>
      <c r="D304" s="34" t="s">
        <v>1080</v>
      </c>
      <c r="E304" s="35" t="s">
        <v>1093</v>
      </c>
      <c r="F304" s="35" t="s">
        <v>2001</v>
      </c>
      <c r="G304" s="35" t="s">
        <v>1083</v>
      </c>
      <c r="H304" s="36" t="str">
        <f>IFERROR(__xludf.DUMMYFUNCTION("IFERROR(INDEX(FILTER('棲息地'!$B$2:$B995 &amp; "" / "" &amp; '棲息地'!$C$2:$C995, ISNUMBER(SEARCH($B304, '棲息地'!$D$2:$D995))), 1), """")"),"")</f>
        <v/>
      </c>
      <c r="I304" s="36" t="str">
        <f>IFERROR(__xludf.DUMMYFUNCTION("IFERROR(INDEX(FILTER('棲息地'!$D$2:$D995, ISNUMBER(SEARCH($B304, '棲息地'!$D$2:$D995))), 1), """")"),"")</f>
        <v/>
      </c>
      <c r="J304" s="36" t="str">
        <f>IFERROR(__xludf.DUMMYFUNCTION("IFERROR(INDEX(FILTER('棲息地'!$B$2:$B995 &amp; "" / "" &amp; '棲息地'!$C$2:$C995, ISNUMBER(SEARCH($B304, '棲息地'!$D$2:$D995))), 2), """")"),"")</f>
        <v/>
      </c>
      <c r="K304" s="36" t="str">
        <f>IFERROR(__xludf.DUMMYFUNCTION("IFERROR(INDEX(FILTER('棲息地'!$D$2:$D995, ISNUMBER(SEARCH($B304, '棲息地'!$D$2:$D995))), 2), """")"),"")</f>
        <v/>
      </c>
      <c r="L304" s="36" t="str">
        <f>IFERROR(__xludf.DUMMYFUNCTION("IFERROR(INDEX(FILTER('棲息地'!$D$2:$D995, ISNUMBER(SEARCH($B304, '棲息地'!$D$2:$D995))), 3), """")"),"")</f>
        <v/>
      </c>
      <c r="M304" s="36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22.5" customHeight="1">
      <c r="A305" s="34" t="s">
        <v>2002</v>
      </c>
      <c r="B305" s="34" t="s">
        <v>2003</v>
      </c>
      <c r="C305" s="35" t="s">
        <v>1079</v>
      </c>
      <c r="D305" s="34" t="s">
        <v>1080</v>
      </c>
      <c r="E305" s="35" t="s">
        <v>1081</v>
      </c>
      <c r="F305" s="35" t="s">
        <v>2004</v>
      </c>
      <c r="G305" s="35" t="s">
        <v>1083</v>
      </c>
      <c r="H305" s="36" t="str">
        <f>IFERROR(__xludf.DUMMYFUNCTION("IFERROR(INDEX(FILTER('棲息地'!$B$2:$B995 &amp; "" / "" &amp; '棲息地'!$C$2:$C995, ISNUMBER(SEARCH($B305, '棲息地'!$D$2:$D995))), 1), """")"),"綠色的地毯 / 悠然的花 ×4")</f>
        <v>綠色的地毯 / 悠然的花 ×4</v>
      </c>
      <c r="I305" s="36" t="str">
        <f>IFERROR(__xludf.DUMMYFUNCTION("IFERROR(INDEX(FILTER('棲息地'!$D$2:$D995, ISNUMBER(SEARCH($B305, '棲息地'!$D$2:$D995))), 1), """")"),"毽子草（★）、毽子花（★★）、毽子棉（★★★）")</f>
        <v>毽子草（★）、毽子花（★★）、毽子棉（★★★）</v>
      </c>
      <c r="J305" s="36" t="str">
        <f>IFERROR(__xludf.DUMMYFUNCTION("IFERROR(INDEX(FILTER('棲息地'!$B$2:$B995 &amp; "" / "" &amp; '棲息地'!$C$2:$C995, ISNUMBER(SEARCH($B305, '棲息地'!$D$2:$D995))), 2), """")"),"")</f>
        <v/>
      </c>
      <c r="K305" s="36" t="str">
        <f>IFERROR(__xludf.DUMMYFUNCTION("IFERROR(INDEX(FILTER('棲息地'!$D$2:$D995, ISNUMBER(SEARCH($B305, '棲息地'!$D$2:$D995))), 2), """")"),"")</f>
        <v/>
      </c>
      <c r="L305" s="36" t="str">
        <f>IFERROR(__xludf.DUMMYFUNCTION("IFERROR(INDEX(FILTER('棲息地'!$D$2:$D995, ISNUMBER(SEARCH($B305, '棲息地'!$D$2:$D995))), 3), """")"),"")</f>
        <v/>
      </c>
      <c r="M305" s="36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22.5" customHeight="1">
      <c r="A306" s="34" t="s">
        <v>2002</v>
      </c>
      <c r="B306" s="34" t="s">
        <v>2005</v>
      </c>
      <c r="C306" s="35" t="s">
        <v>1079</v>
      </c>
      <c r="D306" s="34" t="s">
        <v>1080</v>
      </c>
      <c r="E306" s="35" t="s">
        <v>1081</v>
      </c>
      <c r="F306" s="35" t="s">
        <v>2006</v>
      </c>
      <c r="G306" s="35" t="s">
        <v>1129</v>
      </c>
      <c r="H306" s="36" t="str">
        <f>IFERROR(__xludf.DUMMYFUNCTION("IFERROR(INDEX(FILTER('棲息地'!$B$2:$B995 &amp; "" / "" &amp; '棲息地'!$C$2:$C995, ISNUMBER(SEARCH($B306, '棲息地'!$D$2:$D995))), 1), """")"),"綠色的地毯 / 悠然的花 ×4")</f>
        <v>綠色的地毯 / 悠然的花 ×4</v>
      </c>
      <c r="I306" s="36" t="str">
        <f>IFERROR(__xludf.DUMMYFUNCTION("IFERROR(INDEX(FILTER('棲息地'!$D$2:$D995, ISNUMBER(SEARCH($B306, '棲息地'!$D$2:$D995))), 1), """")"),"毽子草（★）、毽子花（★★）、毽子棉（★★★）")</f>
        <v>毽子草（★）、毽子花（★★）、毽子棉（★★★）</v>
      </c>
      <c r="J306" s="36" t="str">
        <f>IFERROR(__xludf.DUMMYFUNCTION("IFERROR(INDEX(FILTER('棲息地'!$B$2:$B995 &amp; "" / "" &amp; '棲息地'!$C$2:$C995, ISNUMBER(SEARCH($B306, '棲息地'!$D$2:$D995))), 2), """")"),"遠足必備 / 便當 ×1、毽子草水壺 ×1、花朵背包 ×1")</f>
        <v>遠足必備 / 便當 ×1、毽子草水壺 ×1、花朵背包 ×1</v>
      </c>
      <c r="K306" s="36" t="str">
        <f>IFERROR(__xludf.DUMMYFUNCTION("IFERROR(INDEX(FILTER('棲息地'!$D$2:$D995, ISNUMBER(SEARCH($B306, '棲息地'!$D$2:$D995))), 2), """")"),"毽子花（★★）")</f>
        <v>毽子花（★★）</v>
      </c>
      <c r="L306" s="36" t="str">
        <f>IFERROR(__xludf.DUMMYFUNCTION("IFERROR(INDEX(FILTER('棲息地'!$D$2:$D995, ISNUMBER(SEARCH($B306, '棲息地'!$D$2:$D995))), 3), """")"),"")</f>
        <v/>
      </c>
      <c r="M306" s="36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22.5" customHeight="1">
      <c r="A307" s="34" t="s">
        <v>2002</v>
      </c>
      <c r="B307" s="34" t="s">
        <v>2007</v>
      </c>
      <c r="C307" s="35" t="s">
        <v>1089</v>
      </c>
      <c r="D307" s="35" t="s">
        <v>1438</v>
      </c>
      <c r="E307" s="35" t="s">
        <v>1081</v>
      </c>
      <c r="F307" s="35" t="s">
        <v>2008</v>
      </c>
      <c r="G307" s="35" t="s">
        <v>1087</v>
      </c>
      <c r="H307" s="36" t="str">
        <f>IFERROR(__xludf.DUMMYFUNCTION("IFERROR(INDEX(FILTER('棲息地'!$B$2:$B995 &amp; "" / "" &amp; '棲息地'!$C$2:$C995, ISNUMBER(SEARCH($B307, '棲息地'!$D$2:$D995))), 1), """")"),"綠色的地毯 / 悠然的花 ×4")</f>
        <v>綠色的地毯 / 悠然的花 ×4</v>
      </c>
      <c r="I307" s="36" t="str">
        <f>IFERROR(__xludf.DUMMYFUNCTION("IFERROR(INDEX(FILTER('棲息地'!$D$2:$D995, ISNUMBER(SEARCH($B307, '棲息地'!$D$2:$D995))), 1), """")"),"毽子草（★）、毽子花（★★）、毽子棉（★★★）")</f>
        <v>毽子草（★）、毽子花（★★）、毽子棉（★★★）</v>
      </c>
      <c r="J307" s="36" t="str">
        <f>IFERROR(__xludf.DUMMYFUNCTION("IFERROR(INDEX(FILTER('棲息地'!$B$2:$B995 &amp; "" / "" &amp; '棲息地'!$C$2:$C995, ISNUMBER(SEARCH($B307, '棲息地'!$D$2:$D995))), 2), """")"),"蒲公英相伴的午餐 / 悠然的花×1、便當×1、花朵餐具套組×1、花朵靠枕×1")</f>
        <v>蒲公英相伴的午餐 / 悠然的花×1、便當×1、花朵餐具套組×1、花朵靠枕×1</v>
      </c>
      <c r="K307" s="36" t="str">
        <f>IFERROR(__xludf.DUMMYFUNCTION("IFERROR(INDEX(FILTER('棲息地'!$D$2:$D995, ISNUMBER(SEARCH($B307, '棲息地'!$D$2:$D995))), 2), """")"),"毽子棉（★★★）")</f>
        <v>毽子棉（★★★）</v>
      </c>
      <c r="L307" s="36" t="str">
        <f>IFERROR(__xludf.DUMMYFUNCTION("IFERROR(INDEX(FILTER('棲息地'!$D$2:$D995, ISNUMBER(SEARCH($B307, '棲息地'!$D$2:$D995))), 3), """")"),"")</f>
        <v/>
      </c>
      <c r="M307" s="36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8"/>
      <c r="B308" s="38"/>
      <c r="C308" s="38"/>
      <c r="D308" s="38"/>
      <c r="E308" s="38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8"/>
      <c r="B309" s="38"/>
      <c r="C309" s="38"/>
      <c r="D309" s="38"/>
      <c r="E309" s="38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8"/>
      <c r="B310" s="38"/>
      <c r="C310" s="38"/>
      <c r="D310" s="38"/>
      <c r="E310" s="38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8"/>
      <c r="B311" s="38"/>
      <c r="C311" s="38"/>
      <c r="D311" s="38"/>
      <c r="E311" s="38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</sheetData>
  <drawing r:id="rId1"/>
  <tableParts count="1">
    <tablePart r:id="rId3"/>
  </tableParts>
</worksheet>
</file>